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rael and Yossef\Downloads\"/>
    </mc:Choice>
  </mc:AlternateContent>
  <xr:revisionPtr revIDLastSave="0" documentId="13_ncr:1_{04762BEC-D5E8-4522-8BE5-A6C60B70C410}" xr6:coauthVersionLast="47" xr6:coauthVersionMax="47" xr10:uidLastSave="{00000000-0000-0000-0000-000000000000}"/>
  <bookViews>
    <workbookView xWindow="-108" yWindow="-108" windowWidth="23256" windowHeight="12576" activeTab="3" xr2:uid="{28DD5B76-0634-4F87-BE60-8BFA7EF2E23B}"/>
  </bookViews>
  <sheets>
    <sheet name="A̳ssets" sheetId="1" r:id="rId1"/>
    <sheet name="B̳ases" sheetId="2" r:id="rId2"/>
    <sheet name="informações" sheetId="5" r:id="rId3"/>
    <sheet name="D̳ashboard" sheetId="4" r:id="rId4"/>
  </sheets>
  <calcPr calcId="191029"/>
  <pivotCaches>
    <pivotCache cacheId="27" r:id="rId5"/>
    <pivotCache cacheId="2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D3" i="5"/>
  <c r="F4" i="5"/>
  <c r="E4" i="5"/>
  <c r="D4" i="5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<sst xmlns="http://schemas.openxmlformats.org/spreadsheetml/2006/main" count="2035" uniqueCount="339">
  <si>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</si>
  <si>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</si>
  <si>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</si>
  <si>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</si>
  <si>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</si>
  <si>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</si>
  <si>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</si>
  <si>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</si>
  <si>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</si>
  <si>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</si>
  <si>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</si>
  <si>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</si>
  <si>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</si>
  <si>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</si>
  <si>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</si>
  <si>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</si>
  <si>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</si>
  <si>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</si>
  <si>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</si>
  <si>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</si>
  <si>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</si>
  <si>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</si>
  <si>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</si>
  <si>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</si>
  <si>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</si>
  <si>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</si>
  <si>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</si>
  <si>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</si>
  <si>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</si>
  <si>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</si>
  <si>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</si>
  <si>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</si>
  <si>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</si>
  <si>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</si>
  <si>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</si>
  <si>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</si>
  <si>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</si>
  <si>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</si>
  <si>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</si>
  <si>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</si>
  <si>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</si>
  <si>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</si>
  <si>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</si>
  <si>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</si>
  <si>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</si>
  <si>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</si>
  <si>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</si>
  <si>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</si>
  <si>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</si>
  <si>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</si>
  <si>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</si>
  <si>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</si>
  <si>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</si>
  <si>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</si>
  <si>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</si>
  <si>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</si>
  <si>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</si>
  <si>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</si>
  <si>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</si>
  <si>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</si>
  <si>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</si>
  <si>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</si>
  <si>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</si>
  <si>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</si>
  <si>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</si>
  <si>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</si>
  <si>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</si>
  <si>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</si>
  <si>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</si>
  <si>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</si>
  <si>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</si>
  <si>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</si>
  <si>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</si>
  <si>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</si>
  <si>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</si>
  <si>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</si>
  <si>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</si>
  <si>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</si>
  <si>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</si>
  <si>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</si>
  <si>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</si>
  <si>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</si>
  <si>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</si>
  <si>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</si>
  <si>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</si>
  <si>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</si>
  <si>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</si>
  <si>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</si>
  <si>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</si>
  <si>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</si>
  <si>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</si>
  <si>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</si>
  <si>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</si>
  <si>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</si>
  <si>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</si>
  <si>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</si>
  <si>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</si>
  <si>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</si>
  <si>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</si>
  <si>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</si>
  <si>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</si>
  <si>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</si>
  <si>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</si>
  <si>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</si>
  <si>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</si>
  <si>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</si>
  <si>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</si>
  <si>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</si>
  <si>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</si>
  <si>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</si>
  <si>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</si>
  <si>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</si>
  <si>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</si>
  <si>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</si>
  <si>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</si>
  <si>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</si>
  <si>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</si>
  <si>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</si>
  <si>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</si>
  <si>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</si>
  <si>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</si>
  <si>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</si>
  <si>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</si>
  <si>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</si>
  <si>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</si>
  <si>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</si>
  <si>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</si>
  <si>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</si>
  <si>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</si>
  <si>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</si>
  <si>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</si>
  <si>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</si>
  <si>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</si>
  <si>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</si>
  <si>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</si>
  <si>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</si>
  <si>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</si>
  <si>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</si>
  <si>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</si>
  <si>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</si>
  <si>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</si>
  <si>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</si>
  <si>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</si>
  <si>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</si>
  <si>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</si>
  <si>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</si>
  <si>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</si>
  <si>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</si>
  <si>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</si>
  <si>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</si>
  <si>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</si>
  <si>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</si>
  <si>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</si>
  <si>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</si>
  <si>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</si>
  <si>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</si>
  <si>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</si>
  <si>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</si>
  <si>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</si>
  <si>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</si>
  <si>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</si>
  <si>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</si>
  <si>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</si>
  <si>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</si>
  <si>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</si>
  <si>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</si>
  <si>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</si>
  <si>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</si>
  <si>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</si>
  <si>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</si>
  <si>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</si>
  <si>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</si>
  <si>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</si>
  <si>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</si>
  <si>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</si>
  <si>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</si>
  <si>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</si>
  <si>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</si>
  <si>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</si>
  <si>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</si>
  <si>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</si>
  <si>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</si>
  <si>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</si>
  <si>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</si>
  <si>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</si>
  <si>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</si>
  <si>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</si>
  <si>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</si>
  <si>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</si>
  <si>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</si>
  <si>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</si>
  <si>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</si>
  <si>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</si>
  <si>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</si>
  <si>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</si>
  <si>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</si>
  <si>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</si>
  <si>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</si>
  <si>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</si>
  <si>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</si>
  <si>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</si>
  <si>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</si>
  <si>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</si>
  <si>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</si>
  <si>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</si>
  <si>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</si>
  <si>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</si>
  <si>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</si>
  <si>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</si>
  <si>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</si>
  <si>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</si>
  <si>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</si>
  <si>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</si>
  <si>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</si>
  <si>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</si>
  <si>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</si>
  <si>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</si>
  <si>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</si>
  <si>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</si>
  <si>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</si>
  <si>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</si>
  <si>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</si>
  <si>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</si>
  <si>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</si>
  <si>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</si>
  <si>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</si>
  <si>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</si>
  <si>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</si>
  <si>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</si>
  <si>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</si>
  <si>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</si>
  <si>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</si>
  <si>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</si>
  <si>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</si>
  <si>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</si>
  <si>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</si>
  <si>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</si>
  <si>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</si>
  <si>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</si>
  <si>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</si>
  <si>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</si>
  <si>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</si>
  <si>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</si>
  <si>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</si>
  <si>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</si>
  <si>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</si>
  <si>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</si>
  <si>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</si>
  <si>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</si>
  <si>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</si>
  <si>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</si>
  <si>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</si>
  <si>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</si>
  <si>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</si>
  <si>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</si>
  <si>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</si>
  <si>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</si>
  <si>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</si>
  <si>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</si>
  <si>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</si>
  <si>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</si>
  <si>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</si>
  <si>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</si>
  <si>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</si>
  <si>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</si>
  <si>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</si>
  <si>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</si>
  <si>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</si>
  <si>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</si>
  <si>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</si>
  <si>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</si>
  <si>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</si>
  <si>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</si>
  <si>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</si>
  <si>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</si>
  <si>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</si>
  <si>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</si>
  <si>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</si>
  <si>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</si>
  <si>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</si>
  <si>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</si>
  <si>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</si>
  <si>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</si>
  <si>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</si>
  <si>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</si>
  <si>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</si>
  <si>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</si>
  <si>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</si>
  <si>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</si>
  <si>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</si>
  <si>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</si>
  <si>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</si>
  <si>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</si>
  <si>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</si>
  <si>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</si>
  <si>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</si>
  <si>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</si>
  <si>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</si>
  <si>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</si>
  <si>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</si>
  <si>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</si>
  <si>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</si>
  <si>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</si>
  <si>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</si>
  <si>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</si>
  <si>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</si>
  <si>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</si>
  <si>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</si>
  <si>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</si>
  <si>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</si>
  <si>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</si>
  <si>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</si>
  <si>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</si>
  <si>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</si>
  <si>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Soma de Subscription Price</t>
  </si>
  <si>
    <t>Total Geral</t>
  </si>
  <si>
    <t>Soma de Total Value</t>
  </si>
  <si>
    <t xml:space="preserve">Assinatura por valores </t>
  </si>
  <si>
    <t>Auto renoval</t>
  </si>
  <si>
    <t>tipo de pagamento mensal...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</si>
  <si>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</si>
  <si>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</si>
  <si>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</si>
  <si>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</si>
  <si>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</si>
  <si>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</si>
  <si>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</si>
  <si>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</si>
  <si>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</si>
  <si>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</si>
  <si>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</si>
  <si>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</si>
  <si>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P/ mês</t>
  </si>
  <si>
    <t>Os planos influenciam na receita?</t>
  </si>
  <si>
    <t xml:space="preserve">Minecraft </t>
  </si>
  <si>
    <t>Ea</t>
  </si>
  <si>
    <t>A importancia do passes na receita</t>
  </si>
  <si>
    <t>No pass</t>
  </si>
  <si>
    <t>Avaliando ciclos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</si>
</sst>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9" fontId="0" fillId="0" borderId="0" xfId="3" applyFon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BC848"/>
      <color rgb="FF22C55E"/>
      <color rgb="FFE8E6E9"/>
      <color rgb="FF5BF6A8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23/09/relationships/Python" Target="pyth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[805d54f9-6d53-4246-bed7-4aa2da615923.xlsx]informações!Tabela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Planos</a:t>
            </a:r>
            <a:r>
              <a:rPr lang="en-US" baseline="0"/>
              <a:t> e valor de receitas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454820318689201E-2"/>
          <c:y val="0.18097233534381205"/>
          <c:w val="0.90930796150481186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informações!$B$3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informações!$A$4:$A$7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informações!$B$4:$B$7</c:f>
              <c:numCache>
                <c:formatCode>_("R$"* #,##0.00_);_("R$"* \(#,##0.00\);_("R$"* "-"??_);_(@_)</c:formatCode>
                <c:ptCount val="3"/>
                <c:pt idx="0">
                  <c:v>500</c:v>
                </c:pt>
                <c:pt idx="1">
                  <c:v>950</c:v>
                </c:pt>
                <c:pt idx="2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C-4D7D-8896-E353DD7B6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1002159"/>
        <c:axId val="560993999"/>
      </c:barChart>
      <c:catAx>
        <c:axId val="56100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993999"/>
        <c:crosses val="autoZero"/>
        <c:auto val="1"/>
        <c:lblAlgn val="ctr"/>
        <c:lblOffset val="100"/>
        <c:noMultiLvlLbl val="0"/>
      </c:catAx>
      <c:valAx>
        <c:axId val="56099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100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Passes</a:t>
            </a:r>
            <a:endParaRPr lang="pt-BR" baseline="0"/>
          </a:p>
          <a:p>
            <a:pPr>
              <a:defRPr/>
            </a:pP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47159649885538"/>
          <c:y val="0.1250908357585177"/>
          <c:w val="0.86447247190283139"/>
          <c:h val="0.7724468922290950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informações!$D$2:$F$2</c:f>
              <c:strCache>
                <c:ptCount val="3"/>
                <c:pt idx="0">
                  <c:v>Minecraft </c:v>
                </c:pt>
                <c:pt idx="1">
                  <c:v>Ea</c:v>
                </c:pt>
                <c:pt idx="2">
                  <c:v>No pass</c:v>
                </c:pt>
              </c:strCache>
            </c:strRef>
          </c:cat>
          <c:val>
            <c:numRef>
              <c:f>informações!$D$4:$F$4</c:f>
              <c:numCache>
                <c:formatCode>_("R$"* #,##0.00_);_("R$"* \(#,##0.00\);_("R$"* "-"??_);_(@_)</c:formatCode>
                <c:ptCount val="3"/>
                <c:pt idx="0">
                  <c:v>4981.3627118644072</c:v>
                </c:pt>
                <c:pt idx="1">
                  <c:v>2529.3966101694914</c:v>
                </c:pt>
                <c:pt idx="2">
                  <c:v>76.14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D-4367-80F3-DB662616D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862208"/>
        <c:axId val="1122872768"/>
      </c:barChart>
      <c:catAx>
        <c:axId val="112286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872768"/>
        <c:crosses val="autoZero"/>
        <c:auto val="1"/>
        <c:lblAlgn val="ctr"/>
        <c:lblOffset val="100"/>
        <c:noMultiLvlLbl val="0"/>
      </c:catAx>
      <c:valAx>
        <c:axId val="11228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286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B̳ases!$D$2:$D$294</c:f>
              <c:numCache>
                <c:formatCode>m/d/yyyy</c:formatCode>
                <c:ptCount val="98"/>
                <c:pt idx="0">
                  <c:v>45292</c:v>
                </c:pt>
                <c:pt idx="1">
                  <c:v>45342</c:v>
                </c:pt>
                <c:pt idx="2">
                  <c:v>45354</c:v>
                </c:pt>
                <c:pt idx="3">
                  <c:v>45356</c:v>
                </c:pt>
                <c:pt idx="4">
                  <c:v>45359</c:v>
                </c:pt>
                <c:pt idx="5">
                  <c:v>45362</c:v>
                </c:pt>
                <c:pt idx="6">
                  <c:v>45365</c:v>
                </c:pt>
                <c:pt idx="7">
                  <c:v>45368</c:v>
                </c:pt>
                <c:pt idx="8">
                  <c:v>45371</c:v>
                </c:pt>
                <c:pt idx="9">
                  <c:v>45374</c:v>
                </c:pt>
                <c:pt idx="10">
                  <c:v>45377</c:v>
                </c:pt>
                <c:pt idx="11">
                  <c:v>45380</c:v>
                </c:pt>
                <c:pt idx="12">
                  <c:v>45384</c:v>
                </c:pt>
                <c:pt idx="13">
                  <c:v>45387</c:v>
                </c:pt>
                <c:pt idx="14">
                  <c:v>45390</c:v>
                </c:pt>
                <c:pt idx="15">
                  <c:v>45393</c:v>
                </c:pt>
                <c:pt idx="16">
                  <c:v>45396</c:v>
                </c:pt>
                <c:pt idx="17">
                  <c:v>45399</c:v>
                </c:pt>
                <c:pt idx="18">
                  <c:v>45402</c:v>
                </c:pt>
                <c:pt idx="19">
                  <c:v>45405</c:v>
                </c:pt>
                <c:pt idx="20">
                  <c:v>45408</c:v>
                </c:pt>
                <c:pt idx="21">
                  <c:v>45411</c:v>
                </c:pt>
                <c:pt idx="22">
                  <c:v>45414</c:v>
                </c:pt>
                <c:pt idx="23">
                  <c:v>45417</c:v>
                </c:pt>
                <c:pt idx="24">
                  <c:v>45420</c:v>
                </c:pt>
                <c:pt idx="25">
                  <c:v>45423</c:v>
                </c:pt>
                <c:pt idx="26">
                  <c:v>45426</c:v>
                </c:pt>
                <c:pt idx="27">
                  <c:v>45429</c:v>
                </c:pt>
                <c:pt idx="28">
                  <c:v>45432</c:v>
                </c:pt>
                <c:pt idx="29">
                  <c:v>45435</c:v>
                </c:pt>
                <c:pt idx="30">
                  <c:v>45438</c:v>
                </c:pt>
                <c:pt idx="31">
                  <c:v>45441</c:v>
                </c:pt>
                <c:pt idx="32">
                  <c:v>45444</c:v>
                </c:pt>
                <c:pt idx="33">
                  <c:v>45447</c:v>
                </c:pt>
                <c:pt idx="34">
                  <c:v>45450</c:v>
                </c:pt>
                <c:pt idx="35">
                  <c:v>45454</c:v>
                </c:pt>
                <c:pt idx="36">
                  <c:v>45457</c:v>
                </c:pt>
                <c:pt idx="37">
                  <c:v>45460</c:v>
                </c:pt>
                <c:pt idx="38">
                  <c:v>45463</c:v>
                </c:pt>
                <c:pt idx="39">
                  <c:v>45466</c:v>
                </c:pt>
                <c:pt idx="40">
                  <c:v>45469</c:v>
                </c:pt>
                <c:pt idx="41">
                  <c:v>45472</c:v>
                </c:pt>
                <c:pt idx="42">
                  <c:v>45475</c:v>
                </c:pt>
                <c:pt idx="43">
                  <c:v>45478</c:v>
                </c:pt>
                <c:pt idx="44">
                  <c:v>45481</c:v>
                </c:pt>
                <c:pt idx="45">
                  <c:v>45484</c:v>
                </c:pt>
                <c:pt idx="46">
                  <c:v>45487</c:v>
                </c:pt>
                <c:pt idx="47">
                  <c:v>45490</c:v>
                </c:pt>
                <c:pt idx="48">
                  <c:v>45493</c:v>
                </c:pt>
                <c:pt idx="49">
                  <c:v>45496</c:v>
                </c:pt>
                <c:pt idx="50">
                  <c:v>45499</c:v>
                </c:pt>
                <c:pt idx="51">
                  <c:v>45502</c:v>
                </c:pt>
                <c:pt idx="52">
                  <c:v>45505</c:v>
                </c:pt>
                <c:pt idx="53">
                  <c:v>45508</c:v>
                </c:pt>
                <c:pt idx="54">
                  <c:v>45511</c:v>
                </c:pt>
                <c:pt idx="55">
                  <c:v>45514</c:v>
                </c:pt>
                <c:pt idx="56">
                  <c:v>45517</c:v>
                </c:pt>
                <c:pt idx="57">
                  <c:v>45520</c:v>
                </c:pt>
                <c:pt idx="58">
                  <c:v>45524</c:v>
                </c:pt>
                <c:pt idx="59">
                  <c:v>45527</c:v>
                </c:pt>
                <c:pt idx="60">
                  <c:v>45530</c:v>
                </c:pt>
                <c:pt idx="61">
                  <c:v>45533</c:v>
                </c:pt>
                <c:pt idx="62">
                  <c:v>45536</c:v>
                </c:pt>
                <c:pt idx="63">
                  <c:v>45539</c:v>
                </c:pt>
                <c:pt idx="64">
                  <c:v>45542</c:v>
                </c:pt>
                <c:pt idx="65">
                  <c:v>45545</c:v>
                </c:pt>
                <c:pt idx="66">
                  <c:v>45548</c:v>
                </c:pt>
                <c:pt idx="67">
                  <c:v>45551</c:v>
                </c:pt>
                <c:pt idx="68">
                  <c:v>45554</c:v>
                </c:pt>
                <c:pt idx="69">
                  <c:v>45557</c:v>
                </c:pt>
                <c:pt idx="70">
                  <c:v>45560</c:v>
                </c:pt>
                <c:pt idx="71">
                  <c:v>45563</c:v>
                </c:pt>
                <c:pt idx="72">
                  <c:v>45566</c:v>
                </c:pt>
                <c:pt idx="73">
                  <c:v>45569</c:v>
                </c:pt>
                <c:pt idx="74">
                  <c:v>45572</c:v>
                </c:pt>
                <c:pt idx="75">
                  <c:v>45575</c:v>
                </c:pt>
                <c:pt idx="76">
                  <c:v>45578</c:v>
                </c:pt>
                <c:pt idx="77">
                  <c:v>45581</c:v>
                </c:pt>
                <c:pt idx="78">
                  <c:v>45584</c:v>
                </c:pt>
                <c:pt idx="79">
                  <c:v>45587</c:v>
                </c:pt>
                <c:pt idx="80">
                  <c:v>45590</c:v>
                </c:pt>
                <c:pt idx="81">
                  <c:v>45593</c:v>
                </c:pt>
                <c:pt idx="82">
                  <c:v>45596</c:v>
                </c:pt>
                <c:pt idx="83">
                  <c:v>45599</c:v>
                </c:pt>
                <c:pt idx="84">
                  <c:v>45602</c:v>
                </c:pt>
                <c:pt idx="85">
                  <c:v>45604</c:v>
                </c:pt>
                <c:pt idx="86">
                  <c:v>45607</c:v>
                </c:pt>
                <c:pt idx="87">
                  <c:v>45610</c:v>
                </c:pt>
                <c:pt idx="88">
                  <c:v>45613</c:v>
                </c:pt>
                <c:pt idx="89">
                  <c:v>45616</c:v>
                </c:pt>
                <c:pt idx="90">
                  <c:v>45619</c:v>
                </c:pt>
                <c:pt idx="91">
                  <c:v>45622</c:v>
                </c:pt>
                <c:pt idx="92">
                  <c:v>45625</c:v>
                </c:pt>
                <c:pt idx="93">
                  <c:v>45628</c:v>
                </c:pt>
                <c:pt idx="94">
                  <c:v>45631</c:v>
                </c:pt>
                <c:pt idx="95">
                  <c:v>45634</c:v>
                </c:pt>
                <c:pt idx="96">
                  <c:v>45637</c:v>
                </c:pt>
                <c:pt idx="97">
                  <c:v>45640</c:v>
                </c:pt>
              </c:numCache>
            </c:numRef>
          </c:cat>
          <c:val>
            <c:numRef>
              <c:f>B̳ases!$M$2:$M$294</c:f>
              <c:numCache>
                <c:formatCode>_("R$"* #,##0.00_);_("R$"* \(#,##0.00\);_("R$"* "-"??_);_(@_)</c:formatCode>
                <c:ptCount val="98"/>
                <c:pt idx="0">
                  <c:v>60</c:v>
                </c:pt>
                <c:pt idx="1">
                  <c:v>62</c:v>
                </c:pt>
                <c:pt idx="2">
                  <c:v>55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58</c:v>
                </c:pt>
                <c:pt idx="7">
                  <c:v>62</c:v>
                </c:pt>
                <c:pt idx="8">
                  <c:v>45</c:v>
                </c:pt>
                <c:pt idx="9">
                  <c:v>60</c:v>
                </c:pt>
                <c:pt idx="10">
                  <c:v>58</c:v>
                </c:pt>
                <c:pt idx="11">
                  <c:v>62</c:v>
                </c:pt>
                <c:pt idx="12">
                  <c:v>58</c:v>
                </c:pt>
                <c:pt idx="13">
                  <c:v>50</c:v>
                </c:pt>
                <c:pt idx="14">
                  <c:v>45</c:v>
                </c:pt>
                <c:pt idx="15">
                  <c:v>60</c:v>
                </c:pt>
                <c:pt idx="16">
                  <c:v>62</c:v>
                </c:pt>
                <c:pt idx="17">
                  <c:v>58</c:v>
                </c:pt>
                <c:pt idx="18">
                  <c:v>45</c:v>
                </c:pt>
                <c:pt idx="19">
                  <c:v>62</c:v>
                </c:pt>
                <c:pt idx="20">
                  <c:v>60</c:v>
                </c:pt>
                <c:pt idx="21">
                  <c:v>45</c:v>
                </c:pt>
                <c:pt idx="22">
                  <c:v>58</c:v>
                </c:pt>
                <c:pt idx="23">
                  <c:v>50</c:v>
                </c:pt>
                <c:pt idx="24">
                  <c:v>45</c:v>
                </c:pt>
                <c:pt idx="25">
                  <c:v>60</c:v>
                </c:pt>
                <c:pt idx="26">
                  <c:v>62</c:v>
                </c:pt>
                <c:pt idx="27">
                  <c:v>58</c:v>
                </c:pt>
                <c:pt idx="28">
                  <c:v>45</c:v>
                </c:pt>
                <c:pt idx="29">
                  <c:v>62</c:v>
                </c:pt>
                <c:pt idx="30">
                  <c:v>60</c:v>
                </c:pt>
                <c:pt idx="31">
                  <c:v>45</c:v>
                </c:pt>
                <c:pt idx="32">
                  <c:v>58</c:v>
                </c:pt>
                <c:pt idx="33">
                  <c:v>50</c:v>
                </c:pt>
                <c:pt idx="34">
                  <c:v>45</c:v>
                </c:pt>
                <c:pt idx="35">
                  <c:v>58</c:v>
                </c:pt>
                <c:pt idx="36">
                  <c:v>50</c:v>
                </c:pt>
                <c:pt idx="37">
                  <c:v>45</c:v>
                </c:pt>
                <c:pt idx="38">
                  <c:v>60</c:v>
                </c:pt>
                <c:pt idx="39">
                  <c:v>62</c:v>
                </c:pt>
                <c:pt idx="40">
                  <c:v>58</c:v>
                </c:pt>
                <c:pt idx="41">
                  <c:v>45</c:v>
                </c:pt>
                <c:pt idx="42">
                  <c:v>62</c:v>
                </c:pt>
                <c:pt idx="43">
                  <c:v>50</c:v>
                </c:pt>
                <c:pt idx="44">
                  <c:v>58</c:v>
                </c:pt>
                <c:pt idx="45">
                  <c:v>58</c:v>
                </c:pt>
                <c:pt idx="46">
                  <c:v>50</c:v>
                </c:pt>
                <c:pt idx="47">
                  <c:v>45</c:v>
                </c:pt>
                <c:pt idx="48">
                  <c:v>60</c:v>
                </c:pt>
                <c:pt idx="49">
                  <c:v>62</c:v>
                </c:pt>
                <c:pt idx="50">
                  <c:v>58</c:v>
                </c:pt>
                <c:pt idx="51">
                  <c:v>45</c:v>
                </c:pt>
                <c:pt idx="52">
                  <c:v>62</c:v>
                </c:pt>
                <c:pt idx="53">
                  <c:v>50</c:v>
                </c:pt>
                <c:pt idx="54">
                  <c:v>58</c:v>
                </c:pt>
                <c:pt idx="55">
                  <c:v>45</c:v>
                </c:pt>
                <c:pt idx="56">
                  <c:v>60</c:v>
                </c:pt>
                <c:pt idx="57">
                  <c:v>62</c:v>
                </c:pt>
                <c:pt idx="58">
                  <c:v>58</c:v>
                </c:pt>
                <c:pt idx="59">
                  <c:v>50</c:v>
                </c:pt>
                <c:pt idx="60">
                  <c:v>45</c:v>
                </c:pt>
                <c:pt idx="61">
                  <c:v>60</c:v>
                </c:pt>
                <c:pt idx="62">
                  <c:v>62</c:v>
                </c:pt>
                <c:pt idx="63">
                  <c:v>58</c:v>
                </c:pt>
                <c:pt idx="64">
                  <c:v>45</c:v>
                </c:pt>
                <c:pt idx="65">
                  <c:v>62</c:v>
                </c:pt>
                <c:pt idx="66">
                  <c:v>50</c:v>
                </c:pt>
                <c:pt idx="67">
                  <c:v>58</c:v>
                </c:pt>
                <c:pt idx="68">
                  <c:v>58</c:v>
                </c:pt>
                <c:pt idx="69">
                  <c:v>50</c:v>
                </c:pt>
                <c:pt idx="70">
                  <c:v>45</c:v>
                </c:pt>
                <c:pt idx="71">
                  <c:v>60</c:v>
                </c:pt>
                <c:pt idx="72">
                  <c:v>62</c:v>
                </c:pt>
                <c:pt idx="73">
                  <c:v>58</c:v>
                </c:pt>
                <c:pt idx="74">
                  <c:v>45</c:v>
                </c:pt>
                <c:pt idx="75">
                  <c:v>62</c:v>
                </c:pt>
                <c:pt idx="76">
                  <c:v>50</c:v>
                </c:pt>
                <c:pt idx="77">
                  <c:v>58</c:v>
                </c:pt>
                <c:pt idx="78">
                  <c:v>50</c:v>
                </c:pt>
                <c:pt idx="79">
                  <c:v>60</c:v>
                </c:pt>
                <c:pt idx="80">
                  <c:v>62</c:v>
                </c:pt>
                <c:pt idx="81">
                  <c:v>58</c:v>
                </c:pt>
                <c:pt idx="82">
                  <c:v>45</c:v>
                </c:pt>
                <c:pt idx="83">
                  <c:v>62</c:v>
                </c:pt>
                <c:pt idx="84">
                  <c:v>50</c:v>
                </c:pt>
                <c:pt idx="85">
                  <c:v>58</c:v>
                </c:pt>
                <c:pt idx="86">
                  <c:v>50</c:v>
                </c:pt>
                <c:pt idx="87">
                  <c:v>45</c:v>
                </c:pt>
                <c:pt idx="88">
                  <c:v>60</c:v>
                </c:pt>
                <c:pt idx="89">
                  <c:v>62</c:v>
                </c:pt>
                <c:pt idx="90">
                  <c:v>58</c:v>
                </c:pt>
                <c:pt idx="91">
                  <c:v>45</c:v>
                </c:pt>
                <c:pt idx="92">
                  <c:v>62</c:v>
                </c:pt>
                <c:pt idx="93">
                  <c:v>50</c:v>
                </c:pt>
                <c:pt idx="94">
                  <c:v>58</c:v>
                </c:pt>
                <c:pt idx="95">
                  <c:v>45</c:v>
                </c:pt>
                <c:pt idx="96">
                  <c:v>60</c:v>
                </c:pt>
                <c:pt idx="9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F-4822-B094-441F575D7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060768"/>
        <c:axId val="1142062688"/>
      </c:lineChart>
      <c:dateAx>
        <c:axId val="11420607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2062688"/>
        <c:crosses val="autoZero"/>
        <c:auto val="1"/>
        <c:lblOffset val="100"/>
        <c:baseTimeUnit val="days"/>
      </c:dateAx>
      <c:valAx>
        <c:axId val="11420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206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104776</xdr:colOff>
      <xdr:row>8</xdr:row>
      <xdr:rowOff>147637</xdr:rowOff>
    </xdr:from>
    <xdr:to>
      <xdr:col>10</xdr:col>
      <xdr:colOff>217715</xdr:colOff>
      <xdr:row>24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AABCED-D11F-D483-30BA-CC2F2A785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248816</xdr:colOff>
      <xdr:row>8</xdr:row>
      <xdr:rowOff>31103</xdr:rowOff>
    </xdr:from>
    <xdr:to>
      <xdr:col>22</xdr:col>
      <xdr:colOff>351886</xdr:colOff>
      <xdr:row>25</xdr:row>
      <xdr:rowOff>171062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0A46A7B-31E4-4B00-9DE3-37007C71D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62203</xdr:colOff>
      <xdr:row>31</xdr:row>
      <xdr:rowOff>51317</xdr:rowOff>
    </xdr:from>
    <xdr:to>
      <xdr:col>16</xdr:col>
      <xdr:colOff>419877</xdr:colOff>
      <xdr:row>54</xdr:row>
      <xdr:rowOff>139958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31FC0D0-6339-271F-E14D-231033508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srael and Yossef" refreshedDate="46092.55153773148" createdVersion="8" refreshedVersion="8" minRefreshableVersion="3" recordCount="293" xr:uid="{06997F94-921D-4C08-8323-6AB8619ADCF3}">
  <cacheSource type="worksheet">
    <worksheetSource ref="A1:M294" sheet="B̳ases"/>
  </cacheSource>
  <cacheFields count="15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 count="292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</sharedItems>
      <fieldGroup par="14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5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5/12/2024"/>
        </groupItems>
      </fieldGroup>
    </cacheField>
    <cacheField name="Meses (Start Date)" numFmtId="0" databaseField="0">
      <fieldGroup base="3">
        <rangePr groupBy="months" startDate="2024-01-01T00:00:00" endDate="2024-12-15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5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srael and Yossef" refreshedDate="46092.552781481485" createdVersion="8" refreshedVersion="8" minRefreshableVersion="3" recordCount="293" xr:uid="{EC834B78-0AA4-4312-AF2D-3A8AAF212D1B}">
  <cacheSource type="worksheet">
    <worksheetSource ref="E1:M294" sheet="B̳ases"/>
  </cacheSource>
  <cacheFields count="9"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x v="0"/>
    <s v="Yes"/>
    <n v="15"/>
    <x v="0"/>
    <s v="Yes"/>
    <n v="30"/>
    <x v="0"/>
    <n v="20"/>
    <n v="5"/>
    <n v="60"/>
  </r>
  <r>
    <n v="3232"/>
    <s v="Maria Oliveira"/>
    <x v="1"/>
    <x v="1"/>
    <s v="No"/>
    <n v="5"/>
    <x v="1"/>
    <s v="No"/>
    <s v="-"/>
    <x v="1"/>
    <n v="0"/>
    <n v="0"/>
    <n v="5"/>
  </r>
  <r>
    <n v="3233"/>
    <s v="Lucas Fernandes"/>
    <x v="2"/>
    <x v="2"/>
    <s v="Yes"/>
    <n v="10"/>
    <x v="2"/>
    <s v="No"/>
    <s v="-"/>
    <x v="0"/>
    <n v="20"/>
    <n v="10"/>
    <n v="20"/>
  </r>
  <r>
    <n v="3234"/>
    <s v="Ana Souza"/>
    <x v="0"/>
    <x v="3"/>
    <s v="No"/>
    <n v="15"/>
    <x v="0"/>
    <s v="Yes"/>
    <n v="30"/>
    <x v="0"/>
    <n v="20"/>
    <n v="3"/>
    <n v="62"/>
  </r>
  <r>
    <n v="3235"/>
    <s v="Pedro Gonçalves"/>
    <x v="1"/>
    <x v="4"/>
    <s v="Yes"/>
    <n v="5"/>
    <x v="0"/>
    <s v="No"/>
    <s v="-"/>
    <x v="1"/>
    <n v="0"/>
    <n v="1"/>
    <n v="4"/>
  </r>
  <r>
    <n v="3236"/>
    <s v="Felipe Costa"/>
    <x v="2"/>
    <x v="5"/>
    <s v="No"/>
    <n v="10"/>
    <x v="0"/>
    <s v="No"/>
    <s v="-"/>
    <x v="0"/>
    <n v="20"/>
    <n v="2"/>
    <n v="28"/>
  </r>
  <r>
    <n v="3237"/>
    <s v="Camila Ribeiro"/>
    <x v="0"/>
    <x v="6"/>
    <s v="Yes"/>
    <n v="15"/>
    <x v="2"/>
    <s v="Yes"/>
    <n v="30"/>
    <x v="0"/>
    <n v="20"/>
    <n v="10"/>
    <n v="55"/>
  </r>
  <r>
    <n v="3238"/>
    <s v="André Mendes"/>
    <x v="1"/>
    <x v="7"/>
    <s v="Yes"/>
    <n v="5"/>
    <x v="1"/>
    <s v="No"/>
    <s v="-"/>
    <x v="1"/>
    <n v="0"/>
    <n v="0"/>
    <n v="5"/>
  </r>
  <r>
    <n v="3239"/>
    <s v="Sofia Almeida"/>
    <x v="0"/>
    <x v="4"/>
    <s v="No"/>
    <n v="15"/>
    <x v="0"/>
    <s v="Yes"/>
    <n v="30"/>
    <x v="0"/>
    <n v="20"/>
    <n v="5"/>
    <n v="60"/>
  </r>
  <r>
    <n v="3240"/>
    <s v="Bruno Martins"/>
    <x v="2"/>
    <x v="8"/>
    <s v="Yes"/>
    <n v="10"/>
    <x v="2"/>
    <s v="No"/>
    <s v="-"/>
    <x v="0"/>
    <n v="20"/>
    <n v="15"/>
    <n v="15"/>
  </r>
  <r>
    <n v="3241"/>
    <s v="Rita Castro"/>
    <x v="1"/>
    <x v="9"/>
    <s v="No"/>
    <n v="5"/>
    <x v="0"/>
    <s v="No"/>
    <s v="-"/>
    <x v="1"/>
    <n v="0"/>
    <n v="1"/>
    <n v="4"/>
  </r>
  <r>
    <n v="3242"/>
    <s v="Marco Túlio"/>
    <x v="0"/>
    <x v="10"/>
    <s v="Yes"/>
    <n v="15"/>
    <x v="1"/>
    <s v="Yes"/>
    <n v="30"/>
    <x v="0"/>
    <n v="20"/>
    <n v="20"/>
    <n v="45"/>
  </r>
  <r>
    <n v="3243"/>
    <s v="Lívia Silveira"/>
    <x v="2"/>
    <x v="11"/>
    <s v="No"/>
    <n v="10"/>
    <x v="0"/>
    <s v="No"/>
    <s v="-"/>
    <x v="0"/>
    <n v="20"/>
    <n v="10"/>
    <n v="20"/>
  </r>
  <r>
    <n v="3244"/>
    <s v="Diogo Sousa"/>
    <x v="1"/>
    <x v="12"/>
    <s v="Yes"/>
    <n v="5"/>
    <x v="2"/>
    <s v="No"/>
    <s v="-"/>
    <x v="1"/>
    <n v="0"/>
    <n v="0"/>
    <n v="5"/>
  </r>
  <r>
    <n v="3245"/>
    <s v="Fernanda Lima"/>
    <x v="0"/>
    <x v="13"/>
    <s v="No"/>
    <n v="15"/>
    <x v="0"/>
    <s v="Yes"/>
    <n v="30"/>
    <x v="0"/>
    <n v="20"/>
    <n v="8"/>
    <n v="57"/>
  </r>
  <r>
    <n v="3246"/>
    <s v="Caio Pereira"/>
    <x v="2"/>
    <x v="14"/>
    <s v="Yes"/>
    <n v="10"/>
    <x v="1"/>
    <s v="No"/>
    <s v="-"/>
    <x v="0"/>
    <n v="20"/>
    <n v="12"/>
    <n v="18"/>
  </r>
  <r>
    <n v="3247"/>
    <s v="Beatriz Gomes"/>
    <x v="1"/>
    <x v="15"/>
    <s v="No"/>
    <n v="5"/>
    <x v="0"/>
    <s v="No"/>
    <s v="-"/>
    <x v="1"/>
    <n v="0"/>
    <n v="2"/>
    <n v="3"/>
  </r>
  <r>
    <n v="3248"/>
    <s v="Cesar Oliveira"/>
    <x v="0"/>
    <x v="16"/>
    <s v="Yes"/>
    <n v="15"/>
    <x v="2"/>
    <s v="Yes"/>
    <n v="30"/>
    <x v="0"/>
    <n v="20"/>
    <n v="7"/>
    <n v="58"/>
  </r>
  <r>
    <n v="3249"/>
    <s v="Débora Machado"/>
    <x v="2"/>
    <x v="17"/>
    <s v="No"/>
    <n v="10"/>
    <x v="0"/>
    <s v="No"/>
    <s v="-"/>
    <x v="0"/>
    <n v="20"/>
    <n v="5"/>
    <n v="25"/>
  </r>
  <r>
    <n v="3250"/>
    <s v="Eduardo Vargas"/>
    <x v="1"/>
    <x v="18"/>
    <s v="Yes"/>
    <n v="5"/>
    <x v="1"/>
    <s v="No"/>
    <s v="-"/>
    <x v="1"/>
    <n v="0"/>
    <n v="0"/>
    <n v="5"/>
  </r>
  <r>
    <n v="3251"/>
    <s v="Gabriela Santos"/>
    <x v="0"/>
    <x v="19"/>
    <s v="No"/>
    <n v="15"/>
    <x v="0"/>
    <s v="Yes"/>
    <n v="30"/>
    <x v="0"/>
    <n v="20"/>
    <n v="3"/>
    <n v="62"/>
  </r>
  <r>
    <n v="3252"/>
    <s v="Henrique Dias"/>
    <x v="2"/>
    <x v="20"/>
    <s v="Yes"/>
    <n v="10"/>
    <x v="2"/>
    <s v="No"/>
    <s v="-"/>
    <x v="0"/>
    <n v="20"/>
    <n v="15"/>
    <n v="15"/>
  </r>
  <r>
    <n v="3253"/>
    <s v="Isabela Moreira"/>
    <x v="1"/>
    <x v="21"/>
    <s v="No"/>
    <n v="5"/>
    <x v="0"/>
    <s v="No"/>
    <s v="-"/>
    <x v="1"/>
    <n v="0"/>
    <n v="1"/>
    <n v="4"/>
  </r>
  <r>
    <n v="3254"/>
    <s v="Joaquim Barbosa"/>
    <x v="0"/>
    <x v="22"/>
    <s v="Yes"/>
    <n v="15"/>
    <x v="1"/>
    <s v="Yes"/>
    <n v="30"/>
    <x v="0"/>
    <n v="20"/>
    <n v="20"/>
    <n v="45"/>
  </r>
  <r>
    <n v="3255"/>
    <s v="Lara Rocha"/>
    <x v="2"/>
    <x v="23"/>
    <s v="No"/>
    <n v="10"/>
    <x v="0"/>
    <s v="No"/>
    <s v="-"/>
    <x v="0"/>
    <n v="20"/>
    <n v="10"/>
    <n v="20"/>
  </r>
  <r>
    <n v="3256"/>
    <s v="Matheus Silva"/>
    <x v="1"/>
    <x v="24"/>
    <s v="Yes"/>
    <n v="5"/>
    <x v="2"/>
    <s v="No"/>
    <s v="-"/>
    <x v="1"/>
    <n v="0"/>
    <n v="0"/>
    <n v="5"/>
  </r>
  <r>
    <n v="3257"/>
    <s v="Nicole Costa"/>
    <x v="0"/>
    <x v="25"/>
    <s v="No"/>
    <n v="15"/>
    <x v="0"/>
    <s v="Yes"/>
    <n v="30"/>
    <x v="0"/>
    <n v="20"/>
    <n v="5"/>
    <n v="60"/>
  </r>
  <r>
    <n v="3258"/>
    <s v="Otávio Mendonça"/>
    <x v="2"/>
    <x v="26"/>
    <s v="Yes"/>
    <n v="10"/>
    <x v="1"/>
    <s v="No"/>
    <s v="-"/>
    <x v="0"/>
    <n v="20"/>
    <n v="15"/>
    <n v="15"/>
  </r>
  <r>
    <n v="3259"/>
    <s v="Paula Ferreira"/>
    <x v="1"/>
    <x v="27"/>
    <s v="No"/>
    <n v="5"/>
    <x v="0"/>
    <s v="No"/>
    <s v="-"/>
    <x v="1"/>
    <n v="0"/>
    <n v="1"/>
    <n v="4"/>
  </r>
  <r>
    <n v="3260"/>
    <s v="Raquel Alves"/>
    <x v="0"/>
    <x v="28"/>
    <s v="Yes"/>
    <n v="15"/>
    <x v="2"/>
    <s v="Yes"/>
    <n v="30"/>
    <x v="0"/>
    <n v="20"/>
    <n v="7"/>
    <n v="58"/>
  </r>
  <r>
    <n v="3261"/>
    <s v="Samuel Pires"/>
    <x v="2"/>
    <x v="29"/>
    <s v="No"/>
    <n v="10"/>
    <x v="0"/>
    <s v="No"/>
    <s v="-"/>
    <x v="0"/>
    <n v="20"/>
    <n v="10"/>
    <n v="20"/>
  </r>
  <r>
    <n v="3262"/>
    <s v="Tânia Barros"/>
    <x v="1"/>
    <x v="30"/>
    <s v="Yes"/>
    <n v="5"/>
    <x v="1"/>
    <s v="No"/>
    <s v="-"/>
    <x v="1"/>
    <n v="0"/>
    <n v="0"/>
    <n v="5"/>
  </r>
  <r>
    <n v="3263"/>
    <s v="Vinicius Lima"/>
    <x v="0"/>
    <x v="31"/>
    <s v="No"/>
    <n v="15"/>
    <x v="0"/>
    <s v="Yes"/>
    <n v="30"/>
    <x v="0"/>
    <n v="20"/>
    <n v="3"/>
    <n v="62"/>
  </r>
  <r>
    <n v="3264"/>
    <s v="Yasmin Teixeira"/>
    <x v="2"/>
    <x v="32"/>
    <s v="Yes"/>
    <n v="10"/>
    <x v="2"/>
    <s v="No"/>
    <s v="-"/>
    <x v="0"/>
    <n v="20"/>
    <n v="15"/>
    <n v="15"/>
  </r>
  <r>
    <n v="3265"/>
    <s v="Zé Carlos"/>
    <x v="1"/>
    <x v="33"/>
    <s v="No"/>
    <n v="5"/>
    <x v="0"/>
    <s v="No"/>
    <s v="-"/>
    <x v="1"/>
    <n v="0"/>
    <n v="1"/>
    <n v="4"/>
  </r>
  <r>
    <n v="3266"/>
    <s v="Amanda Nogueira"/>
    <x v="1"/>
    <x v="34"/>
    <s v="Yes"/>
    <n v="5"/>
    <x v="0"/>
    <s v="No"/>
    <s v="-"/>
    <x v="1"/>
    <n v="0"/>
    <n v="0"/>
    <n v="5"/>
  </r>
  <r>
    <n v="3267"/>
    <s v="Bruno Cavalheiro"/>
    <x v="0"/>
    <x v="35"/>
    <s v="No"/>
    <n v="15"/>
    <x v="2"/>
    <s v="Yes"/>
    <n v="30"/>
    <x v="0"/>
    <n v="20"/>
    <n v="7"/>
    <n v="58"/>
  </r>
  <r>
    <n v="3268"/>
    <s v="Carla Dias"/>
    <x v="2"/>
    <x v="36"/>
    <s v="Yes"/>
    <n v="10"/>
    <x v="1"/>
    <s v="No"/>
    <s v="-"/>
    <x v="0"/>
    <n v="20"/>
    <n v="10"/>
    <n v="20"/>
  </r>
  <r>
    <n v="3269"/>
    <s v="Diego Fontes"/>
    <x v="1"/>
    <x v="37"/>
    <s v="No"/>
    <n v="5"/>
    <x v="2"/>
    <s v="No"/>
    <s v="-"/>
    <x v="1"/>
    <n v="0"/>
    <n v="1"/>
    <n v="4"/>
  </r>
  <r>
    <n v="3270"/>
    <s v="Eunice Lima"/>
    <x v="0"/>
    <x v="38"/>
    <s v="Yes"/>
    <n v="15"/>
    <x v="0"/>
    <s v="Yes"/>
    <n v="30"/>
    <x v="0"/>
    <n v="20"/>
    <n v="15"/>
    <n v="50"/>
  </r>
  <r>
    <n v="3271"/>
    <s v="Fábio Martins"/>
    <x v="2"/>
    <x v="39"/>
    <s v="No"/>
    <n v="10"/>
    <x v="0"/>
    <s v="No"/>
    <s v="-"/>
    <x v="0"/>
    <n v="20"/>
    <n v="5"/>
    <n v="25"/>
  </r>
  <r>
    <n v="3272"/>
    <s v="Gisele Araújo"/>
    <x v="1"/>
    <x v="40"/>
    <s v="Yes"/>
    <n v="5"/>
    <x v="1"/>
    <s v="No"/>
    <s v="-"/>
    <x v="1"/>
    <n v="0"/>
    <n v="0"/>
    <n v="5"/>
  </r>
  <r>
    <n v="3273"/>
    <s v="Hélio Castro"/>
    <x v="0"/>
    <x v="41"/>
    <s v="No"/>
    <n v="15"/>
    <x v="2"/>
    <s v="Yes"/>
    <n v="30"/>
    <x v="0"/>
    <n v="20"/>
    <n v="20"/>
    <n v="45"/>
  </r>
  <r>
    <n v="3274"/>
    <s v="Ingrid Menezes"/>
    <x v="2"/>
    <x v="42"/>
    <s v="Yes"/>
    <n v="10"/>
    <x v="2"/>
    <s v="No"/>
    <s v="-"/>
    <x v="0"/>
    <n v="20"/>
    <n v="12"/>
    <n v="18"/>
  </r>
  <r>
    <n v="3275"/>
    <s v="Jorge Baptista"/>
    <x v="1"/>
    <x v="43"/>
    <s v="No"/>
    <n v="5"/>
    <x v="0"/>
    <s v="No"/>
    <s v="-"/>
    <x v="1"/>
    <n v="0"/>
    <n v="2"/>
    <n v="3"/>
  </r>
  <r>
    <n v="3276"/>
    <s v="Kléber Oliveira"/>
    <x v="0"/>
    <x v="44"/>
    <s v="Yes"/>
    <n v="15"/>
    <x v="1"/>
    <s v="Yes"/>
    <n v="30"/>
    <x v="0"/>
    <n v="20"/>
    <n v="5"/>
    <n v="60"/>
  </r>
  <r>
    <n v="3277"/>
    <s v="Luciana Freitas"/>
    <x v="2"/>
    <x v="45"/>
    <s v="No"/>
    <n v="10"/>
    <x v="0"/>
    <s v="No"/>
    <s v="-"/>
    <x v="0"/>
    <n v="20"/>
    <n v="10"/>
    <n v="20"/>
  </r>
  <r>
    <n v="3278"/>
    <s v="Márcia Eller"/>
    <x v="1"/>
    <x v="46"/>
    <s v="Yes"/>
    <n v="5"/>
    <x v="2"/>
    <s v="No"/>
    <s v="-"/>
    <x v="1"/>
    <n v="0"/>
    <n v="0"/>
    <n v="5"/>
  </r>
  <r>
    <n v="3279"/>
    <s v="Nilo Peçanha"/>
    <x v="0"/>
    <x v="47"/>
    <s v="No"/>
    <n v="15"/>
    <x v="0"/>
    <s v="Yes"/>
    <n v="30"/>
    <x v="0"/>
    <n v="20"/>
    <n v="3"/>
    <n v="62"/>
  </r>
  <r>
    <n v="3280"/>
    <s v="Oscar Neves"/>
    <x v="2"/>
    <x v="48"/>
    <s v="Yes"/>
    <n v="10"/>
    <x v="1"/>
    <s v="No"/>
    <s v="-"/>
    <x v="0"/>
    <n v="20"/>
    <n v="15"/>
    <n v="15"/>
  </r>
  <r>
    <n v="3281"/>
    <s v="Patrícia Soares"/>
    <x v="1"/>
    <x v="49"/>
    <s v="No"/>
    <n v="5"/>
    <x v="0"/>
    <s v="No"/>
    <s v="-"/>
    <x v="1"/>
    <n v="0"/>
    <n v="1"/>
    <n v="4"/>
  </r>
  <r>
    <n v="3282"/>
    <s v="Quirino Gonçalves"/>
    <x v="0"/>
    <x v="50"/>
    <s v="Yes"/>
    <n v="15"/>
    <x v="2"/>
    <s v="Yes"/>
    <n v="30"/>
    <x v="0"/>
    <n v="20"/>
    <n v="7"/>
    <n v="58"/>
  </r>
  <r>
    <n v="3283"/>
    <s v="Raul Machado"/>
    <x v="2"/>
    <x v="51"/>
    <s v="No"/>
    <n v="10"/>
    <x v="0"/>
    <s v="No"/>
    <s v="-"/>
    <x v="0"/>
    <n v="20"/>
    <n v="10"/>
    <n v="20"/>
  </r>
  <r>
    <n v="3284"/>
    <s v="Sônia Lobo"/>
    <x v="1"/>
    <x v="52"/>
    <s v="Yes"/>
    <n v="5"/>
    <x v="1"/>
    <s v="No"/>
    <s v="-"/>
    <x v="1"/>
    <n v="0"/>
    <n v="0"/>
    <n v="5"/>
  </r>
  <r>
    <n v="3285"/>
    <s v="Tiago Ramos"/>
    <x v="0"/>
    <x v="53"/>
    <s v="No"/>
    <n v="15"/>
    <x v="0"/>
    <s v="Yes"/>
    <n v="30"/>
    <x v="0"/>
    <n v="20"/>
    <n v="20"/>
    <n v="45"/>
  </r>
  <r>
    <n v="3286"/>
    <s v="Ugo Pires"/>
    <x v="2"/>
    <x v="54"/>
    <s v="Yes"/>
    <n v="10"/>
    <x v="2"/>
    <s v="No"/>
    <s v="-"/>
    <x v="0"/>
    <n v="20"/>
    <n v="15"/>
    <n v="15"/>
  </r>
  <r>
    <n v="3287"/>
    <s v="Valéria Nobre"/>
    <x v="1"/>
    <x v="55"/>
    <s v="No"/>
    <n v="5"/>
    <x v="0"/>
    <s v="No"/>
    <s v="-"/>
    <x v="1"/>
    <n v="0"/>
    <n v="1"/>
    <n v="4"/>
  </r>
  <r>
    <n v="3288"/>
    <s v="William Siqueira"/>
    <x v="0"/>
    <x v="56"/>
    <s v="Yes"/>
    <n v="15"/>
    <x v="1"/>
    <s v="Yes"/>
    <n v="30"/>
    <x v="0"/>
    <n v="20"/>
    <n v="3"/>
    <n v="62"/>
  </r>
  <r>
    <n v="3289"/>
    <s v="Xuxa Meneghel"/>
    <x v="2"/>
    <x v="57"/>
    <s v="No"/>
    <n v="10"/>
    <x v="0"/>
    <s v="No"/>
    <s v="-"/>
    <x v="0"/>
    <n v="20"/>
    <n v="10"/>
    <n v="20"/>
  </r>
  <r>
    <n v="3290"/>
    <s v="Yara Figueiredo"/>
    <x v="1"/>
    <x v="58"/>
    <s v="Yes"/>
    <n v="5"/>
    <x v="2"/>
    <s v="No"/>
    <s v="-"/>
    <x v="1"/>
    <n v="0"/>
    <n v="0"/>
    <n v="5"/>
  </r>
  <r>
    <n v="3291"/>
    <s v="Zacarias Alves"/>
    <x v="0"/>
    <x v="59"/>
    <s v="No"/>
    <n v="15"/>
    <x v="0"/>
    <s v="Yes"/>
    <n v="30"/>
    <x v="0"/>
    <n v="20"/>
    <n v="5"/>
    <n v="60"/>
  </r>
  <r>
    <n v="3292"/>
    <s v="Amanda Bynes"/>
    <x v="2"/>
    <x v="60"/>
    <s v="Yes"/>
    <n v="10"/>
    <x v="1"/>
    <s v="No"/>
    <s v="-"/>
    <x v="0"/>
    <n v="20"/>
    <n v="15"/>
    <n v="15"/>
  </r>
  <r>
    <n v="3293"/>
    <s v="Bruno Mars"/>
    <x v="1"/>
    <x v="61"/>
    <s v="No"/>
    <n v="5"/>
    <x v="0"/>
    <s v="No"/>
    <s v="-"/>
    <x v="1"/>
    <n v="0"/>
    <n v="1"/>
    <n v="4"/>
  </r>
  <r>
    <n v="3294"/>
    <s v="Carla Bruni"/>
    <x v="0"/>
    <x v="62"/>
    <s v="Yes"/>
    <n v="15"/>
    <x v="2"/>
    <s v="Yes"/>
    <n v="30"/>
    <x v="0"/>
    <n v="20"/>
    <n v="20"/>
    <n v="45"/>
  </r>
  <r>
    <n v="3295"/>
    <s v="Diego Maradona"/>
    <x v="2"/>
    <x v="63"/>
    <s v="No"/>
    <n v="10"/>
    <x v="0"/>
    <s v="No"/>
    <s v="-"/>
    <x v="0"/>
    <n v="20"/>
    <n v="5"/>
    <n v="25"/>
  </r>
  <r>
    <n v="3296"/>
    <s v="Estela Marques"/>
    <x v="1"/>
    <x v="64"/>
    <s v="No"/>
    <n v="5"/>
    <x v="0"/>
    <s v="No"/>
    <s v="-"/>
    <x v="1"/>
    <n v="0"/>
    <n v="0"/>
    <n v="5"/>
  </r>
  <r>
    <n v="3297"/>
    <s v="Fábio Nobre"/>
    <x v="0"/>
    <x v="65"/>
    <s v="Yes"/>
    <n v="15"/>
    <x v="2"/>
    <s v="Yes"/>
    <n v="30"/>
    <x v="0"/>
    <n v="20"/>
    <n v="7"/>
    <n v="58"/>
  </r>
  <r>
    <n v="3298"/>
    <s v="Gabriel Oliveira"/>
    <x v="2"/>
    <x v="66"/>
    <s v="No"/>
    <n v="10"/>
    <x v="1"/>
    <s v="No"/>
    <s v="-"/>
    <x v="0"/>
    <n v="20"/>
    <n v="10"/>
    <n v="20"/>
  </r>
  <r>
    <n v="3299"/>
    <s v="Helena Santos"/>
    <x v="1"/>
    <x v="67"/>
    <s v="Yes"/>
    <n v="5"/>
    <x v="2"/>
    <s v="No"/>
    <s v="-"/>
    <x v="1"/>
    <n v="0"/>
    <n v="1"/>
    <n v="4"/>
  </r>
  <r>
    <n v="3300"/>
    <s v="Ivan Carvalho"/>
    <x v="0"/>
    <x v="68"/>
    <s v="No"/>
    <n v="15"/>
    <x v="0"/>
    <s v="Yes"/>
    <n v="30"/>
    <x v="0"/>
    <n v="20"/>
    <n v="15"/>
    <n v="50"/>
  </r>
  <r>
    <n v="3301"/>
    <s v="Júlia Ferreira"/>
    <x v="2"/>
    <x v="69"/>
    <s v="Yes"/>
    <n v="10"/>
    <x v="0"/>
    <s v="No"/>
    <s v="-"/>
    <x v="0"/>
    <n v="20"/>
    <n v="5"/>
    <n v="25"/>
  </r>
  <r>
    <n v="3302"/>
    <s v="Karla Alves"/>
    <x v="1"/>
    <x v="70"/>
    <s v="No"/>
    <n v="5"/>
    <x v="1"/>
    <s v="No"/>
    <s v="-"/>
    <x v="1"/>
    <n v="0"/>
    <n v="0"/>
    <n v="5"/>
  </r>
  <r>
    <n v="3303"/>
    <s v="Lucas Mendes"/>
    <x v="0"/>
    <x v="71"/>
    <s v="Yes"/>
    <n v="15"/>
    <x v="2"/>
    <s v="Yes"/>
    <n v="30"/>
    <x v="0"/>
    <n v="20"/>
    <n v="20"/>
    <n v="45"/>
  </r>
  <r>
    <n v="3304"/>
    <s v="Mônica Gomes"/>
    <x v="2"/>
    <x v="72"/>
    <s v="No"/>
    <n v="10"/>
    <x v="2"/>
    <s v="No"/>
    <s v="-"/>
    <x v="0"/>
    <n v="20"/>
    <n v="12"/>
    <n v="18"/>
  </r>
  <r>
    <n v="3305"/>
    <s v="Norberto Queiroz"/>
    <x v="1"/>
    <x v="73"/>
    <s v="Yes"/>
    <n v="5"/>
    <x v="0"/>
    <s v="No"/>
    <s v="-"/>
    <x v="1"/>
    <n v="0"/>
    <n v="2"/>
    <n v="3"/>
  </r>
  <r>
    <n v="3306"/>
    <s v="Otávio Barros"/>
    <x v="0"/>
    <x v="74"/>
    <s v="No"/>
    <n v="15"/>
    <x v="1"/>
    <s v="Yes"/>
    <n v="30"/>
    <x v="0"/>
    <n v="20"/>
    <n v="5"/>
    <n v="60"/>
  </r>
  <r>
    <n v="3307"/>
    <s v="Paula Vieira"/>
    <x v="2"/>
    <x v="75"/>
    <s v="Yes"/>
    <n v="10"/>
    <x v="0"/>
    <s v="No"/>
    <s v="-"/>
    <x v="0"/>
    <n v="20"/>
    <n v="10"/>
    <n v="20"/>
  </r>
  <r>
    <n v="3308"/>
    <s v="Quentin Ramos"/>
    <x v="1"/>
    <x v="76"/>
    <s v="No"/>
    <n v="5"/>
    <x v="2"/>
    <s v="No"/>
    <s v="-"/>
    <x v="1"/>
    <n v="0"/>
    <n v="0"/>
    <n v="5"/>
  </r>
  <r>
    <n v="3309"/>
    <s v="Raquel Novaes"/>
    <x v="0"/>
    <x v="77"/>
    <s v="Yes"/>
    <n v="15"/>
    <x v="0"/>
    <s v="Yes"/>
    <n v="30"/>
    <x v="0"/>
    <n v="20"/>
    <n v="3"/>
    <n v="62"/>
  </r>
  <r>
    <n v="3310"/>
    <s v="Samantha Lopes"/>
    <x v="2"/>
    <x v="78"/>
    <s v="No"/>
    <n v="10"/>
    <x v="1"/>
    <s v="No"/>
    <s v="-"/>
    <x v="0"/>
    <n v="20"/>
    <n v="15"/>
    <n v="15"/>
  </r>
  <r>
    <n v="3311"/>
    <s v="Tiago Martins"/>
    <x v="1"/>
    <x v="79"/>
    <s v="Yes"/>
    <n v="5"/>
    <x v="0"/>
    <s v="No"/>
    <s v="-"/>
    <x v="1"/>
    <n v="0"/>
    <n v="1"/>
    <n v="4"/>
  </r>
  <r>
    <n v="3312"/>
    <s v="Ulysses Guimarães"/>
    <x v="0"/>
    <x v="80"/>
    <s v="No"/>
    <n v="15"/>
    <x v="2"/>
    <s v="Yes"/>
    <n v="30"/>
    <x v="0"/>
    <n v="20"/>
    <n v="7"/>
    <n v="58"/>
  </r>
  <r>
    <n v="3313"/>
    <s v="Vanessa Silva"/>
    <x v="2"/>
    <x v="81"/>
    <s v="Yes"/>
    <n v="10"/>
    <x v="0"/>
    <s v="No"/>
    <s v="-"/>
    <x v="0"/>
    <n v="20"/>
    <n v="10"/>
    <n v="20"/>
  </r>
  <r>
    <n v="3314"/>
    <s v="William Carneiro"/>
    <x v="1"/>
    <x v="82"/>
    <s v="No"/>
    <n v="5"/>
    <x v="1"/>
    <s v="No"/>
    <s v="-"/>
    <x v="1"/>
    <n v="0"/>
    <n v="0"/>
    <n v="5"/>
  </r>
  <r>
    <n v="3315"/>
    <s v="Ximena Rocha"/>
    <x v="0"/>
    <x v="83"/>
    <s v="Yes"/>
    <n v="15"/>
    <x v="0"/>
    <s v="Yes"/>
    <n v="30"/>
    <x v="0"/>
    <n v="20"/>
    <n v="20"/>
    <n v="45"/>
  </r>
  <r>
    <n v="3316"/>
    <s v="Yasmin Figueiredo"/>
    <x v="2"/>
    <x v="84"/>
    <s v="No"/>
    <n v="10"/>
    <x v="2"/>
    <s v="No"/>
    <s v="-"/>
    <x v="0"/>
    <n v="20"/>
    <n v="15"/>
    <n v="15"/>
  </r>
  <r>
    <n v="3317"/>
    <s v="Zara Cunha"/>
    <x v="1"/>
    <x v="85"/>
    <s v="Yes"/>
    <n v="5"/>
    <x v="0"/>
    <s v="No"/>
    <s v="-"/>
    <x v="1"/>
    <n v="0"/>
    <n v="1"/>
    <n v="4"/>
  </r>
  <r>
    <n v="3318"/>
    <s v="Alan Teixeira"/>
    <x v="0"/>
    <x v="86"/>
    <s v="No"/>
    <n v="15"/>
    <x v="1"/>
    <s v="Yes"/>
    <n v="30"/>
    <x v="0"/>
    <n v="20"/>
    <n v="3"/>
    <n v="62"/>
  </r>
  <r>
    <n v="3319"/>
    <s v="Bárbara Oliveira"/>
    <x v="2"/>
    <x v="87"/>
    <s v="Yes"/>
    <n v="10"/>
    <x v="0"/>
    <s v="No"/>
    <s v="-"/>
    <x v="0"/>
    <n v="20"/>
    <n v="10"/>
    <n v="20"/>
  </r>
  <r>
    <n v="3320"/>
    <s v="Carlos Junqueira"/>
    <x v="1"/>
    <x v="88"/>
    <s v="No"/>
    <n v="5"/>
    <x v="2"/>
    <s v="No"/>
    <s v="-"/>
    <x v="1"/>
    <n v="0"/>
    <n v="0"/>
    <n v="5"/>
  </r>
  <r>
    <n v="3321"/>
    <s v="Daniela Moura"/>
    <x v="0"/>
    <x v="89"/>
    <s v="Yes"/>
    <n v="15"/>
    <x v="0"/>
    <s v="Yes"/>
    <n v="30"/>
    <x v="0"/>
    <n v="20"/>
    <n v="5"/>
    <n v="60"/>
  </r>
  <r>
    <n v="3322"/>
    <s v="Eduardo Lima"/>
    <x v="2"/>
    <x v="90"/>
    <s v="No"/>
    <n v="10"/>
    <x v="1"/>
    <s v="No"/>
    <s v="-"/>
    <x v="0"/>
    <n v="20"/>
    <n v="15"/>
    <n v="15"/>
  </r>
  <r>
    <n v="3323"/>
    <s v="Fabiana Araújo"/>
    <x v="1"/>
    <x v="91"/>
    <s v="Yes"/>
    <n v="5"/>
    <x v="0"/>
    <s v="No"/>
    <s v="-"/>
    <x v="1"/>
    <n v="0"/>
    <n v="1"/>
    <n v="4"/>
  </r>
  <r>
    <n v="3324"/>
    <s v="Geraldo Ribeiro"/>
    <x v="0"/>
    <x v="92"/>
    <s v="No"/>
    <n v="15"/>
    <x v="2"/>
    <s v="Yes"/>
    <n v="30"/>
    <x v="0"/>
    <n v="20"/>
    <n v="20"/>
    <n v="45"/>
  </r>
  <r>
    <n v="3325"/>
    <s v="Héctor Vargas"/>
    <x v="2"/>
    <x v="93"/>
    <s v="Yes"/>
    <n v="10"/>
    <x v="2"/>
    <s v="No"/>
    <s v="-"/>
    <x v="0"/>
    <n v="20"/>
    <n v="15"/>
    <n v="15"/>
  </r>
  <r>
    <n v="3326"/>
    <s v="Isabela Fonseca"/>
    <x v="1"/>
    <x v="94"/>
    <s v="No"/>
    <n v="5"/>
    <x v="1"/>
    <s v="No"/>
    <s v="-"/>
    <x v="1"/>
    <n v="0"/>
    <n v="0"/>
    <n v="5"/>
  </r>
  <r>
    <n v="3327"/>
    <s v="João Pedro Almeida"/>
    <x v="0"/>
    <x v="95"/>
    <s v="Yes"/>
    <n v="15"/>
    <x v="0"/>
    <s v="Yes"/>
    <n v="30"/>
    <x v="0"/>
    <n v="20"/>
    <n v="7"/>
    <n v="58"/>
  </r>
  <r>
    <n v="3328"/>
    <s v="Klara Costa"/>
    <x v="2"/>
    <x v="96"/>
    <s v="No"/>
    <n v="10"/>
    <x v="1"/>
    <s v="No"/>
    <s v="-"/>
    <x v="0"/>
    <n v="20"/>
    <n v="10"/>
    <n v="20"/>
  </r>
  <r>
    <n v="3329"/>
    <s v="Luciana Mendes"/>
    <x v="1"/>
    <x v="97"/>
    <s v="Yes"/>
    <n v="5"/>
    <x v="2"/>
    <s v="No"/>
    <s v="-"/>
    <x v="1"/>
    <n v="0"/>
    <n v="1"/>
    <n v="4"/>
  </r>
  <r>
    <n v="3330"/>
    <s v="Marcelo Gouveia"/>
    <x v="0"/>
    <x v="98"/>
    <s v="No"/>
    <n v="15"/>
    <x v="0"/>
    <s v="Yes"/>
    <n v="30"/>
    <x v="0"/>
    <n v="20"/>
    <n v="15"/>
    <n v="50"/>
  </r>
  <r>
    <n v="3331"/>
    <s v="Nívea Borges"/>
    <x v="2"/>
    <x v="99"/>
    <s v="Yes"/>
    <n v="10"/>
    <x v="0"/>
    <s v="No"/>
    <s v="-"/>
    <x v="0"/>
    <n v="20"/>
    <n v="5"/>
    <n v="25"/>
  </r>
  <r>
    <n v="3332"/>
    <s v="Oscar Nogueira"/>
    <x v="1"/>
    <x v="100"/>
    <s v="No"/>
    <n v="5"/>
    <x v="1"/>
    <s v="No"/>
    <s v="-"/>
    <x v="1"/>
    <n v="0"/>
    <n v="0"/>
    <n v="5"/>
  </r>
  <r>
    <n v="3333"/>
    <s v="Patrícia Alves"/>
    <x v="0"/>
    <x v="101"/>
    <s v="Yes"/>
    <n v="15"/>
    <x v="2"/>
    <s v="Yes"/>
    <n v="30"/>
    <x v="0"/>
    <n v="20"/>
    <n v="20"/>
    <n v="45"/>
  </r>
  <r>
    <n v="3334"/>
    <s v="Rafaela Silva"/>
    <x v="2"/>
    <x v="102"/>
    <s v="No"/>
    <n v="10"/>
    <x v="2"/>
    <s v="No"/>
    <s v="-"/>
    <x v="0"/>
    <n v="20"/>
    <n v="12"/>
    <n v="18"/>
  </r>
  <r>
    <n v="3335"/>
    <s v="Samantha Moraes"/>
    <x v="1"/>
    <x v="103"/>
    <s v="Yes"/>
    <n v="5"/>
    <x v="0"/>
    <s v="No"/>
    <s v="-"/>
    <x v="1"/>
    <n v="0"/>
    <n v="2"/>
    <n v="3"/>
  </r>
  <r>
    <n v="3336"/>
    <s v="Tatiana Rocha"/>
    <x v="1"/>
    <x v="104"/>
    <s v="Yes"/>
    <n v="5"/>
    <x v="0"/>
    <s v="No"/>
    <s v="-"/>
    <x v="1"/>
    <n v="0"/>
    <n v="0"/>
    <n v="5"/>
  </r>
  <r>
    <n v="3337"/>
    <s v="Ulisses Tavares"/>
    <x v="0"/>
    <x v="105"/>
    <s v="No"/>
    <n v="15"/>
    <x v="2"/>
    <s v="Yes"/>
    <n v="30"/>
    <x v="0"/>
    <n v="20"/>
    <n v="7"/>
    <n v="58"/>
  </r>
  <r>
    <n v="3338"/>
    <s v="Víctor Lemos"/>
    <x v="2"/>
    <x v="106"/>
    <s v="Yes"/>
    <n v="10"/>
    <x v="1"/>
    <s v="No"/>
    <s v="-"/>
    <x v="0"/>
    <n v="20"/>
    <n v="10"/>
    <n v="20"/>
  </r>
  <r>
    <n v="3339"/>
    <s v="Wilma Barros"/>
    <x v="1"/>
    <x v="107"/>
    <s v="No"/>
    <n v="5"/>
    <x v="2"/>
    <s v="No"/>
    <s v="-"/>
    <x v="1"/>
    <n v="0"/>
    <n v="1"/>
    <n v="4"/>
  </r>
  <r>
    <n v="3340"/>
    <s v="Xavier Nascimento"/>
    <x v="0"/>
    <x v="108"/>
    <s v="Yes"/>
    <n v="15"/>
    <x v="0"/>
    <s v="Yes"/>
    <n v="30"/>
    <x v="0"/>
    <n v="20"/>
    <n v="15"/>
    <n v="50"/>
  </r>
  <r>
    <n v="3341"/>
    <s v="Yago Pereira"/>
    <x v="2"/>
    <x v="109"/>
    <s v="No"/>
    <n v="10"/>
    <x v="0"/>
    <s v="No"/>
    <s v="-"/>
    <x v="0"/>
    <n v="20"/>
    <n v="5"/>
    <n v="25"/>
  </r>
  <r>
    <n v="3342"/>
    <s v="Zilda Ferreira"/>
    <x v="1"/>
    <x v="110"/>
    <s v="Yes"/>
    <n v="5"/>
    <x v="1"/>
    <s v="No"/>
    <s v="-"/>
    <x v="1"/>
    <n v="0"/>
    <n v="0"/>
    <n v="5"/>
  </r>
  <r>
    <n v="3343"/>
    <s v="Amanda Lopes"/>
    <x v="0"/>
    <x v="111"/>
    <s v="No"/>
    <n v="15"/>
    <x v="2"/>
    <s v="Yes"/>
    <n v="30"/>
    <x v="0"/>
    <n v="20"/>
    <n v="20"/>
    <n v="45"/>
  </r>
  <r>
    <n v="3344"/>
    <s v="Bruno Miranda"/>
    <x v="2"/>
    <x v="112"/>
    <s v="Yes"/>
    <n v="10"/>
    <x v="2"/>
    <s v="No"/>
    <s v="-"/>
    <x v="0"/>
    <n v="20"/>
    <n v="12"/>
    <n v="18"/>
  </r>
  <r>
    <n v="3345"/>
    <s v="Célia Torres"/>
    <x v="1"/>
    <x v="113"/>
    <s v="No"/>
    <n v="5"/>
    <x v="0"/>
    <s v="No"/>
    <s v="-"/>
    <x v="1"/>
    <n v="0"/>
    <n v="2"/>
    <n v="3"/>
  </r>
  <r>
    <n v="3346"/>
    <s v="Diogo Souza"/>
    <x v="0"/>
    <x v="114"/>
    <s v="Yes"/>
    <n v="15"/>
    <x v="1"/>
    <s v="Yes"/>
    <n v="30"/>
    <x v="0"/>
    <n v="20"/>
    <n v="5"/>
    <n v="60"/>
  </r>
  <r>
    <n v="3347"/>
    <s v="Elisa Castro"/>
    <x v="2"/>
    <x v="115"/>
    <s v="No"/>
    <n v="10"/>
    <x v="0"/>
    <s v="No"/>
    <s v="-"/>
    <x v="0"/>
    <n v="20"/>
    <n v="10"/>
    <n v="20"/>
  </r>
  <r>
    <n v="3348"/>
    <s v="Fátima Lima"/>
    <x v="1"/>
    <x v="116"/>
    <s v="Yes"/>
    <n v="5"/>
    <x v="2"/>
    <s v="No"/>
    <s v="-"/>
    <x v="1"/>
    <n v="0"/>
    <n v="0"/>
    <n v="5"/>
  </r>
  <r>
    <n v="3349"/>
    <s v="Geraldo Ribeiro"/>
    <x v="0"/>
    <x v="117"/>
    <s v="No"/>
    <n v="15"/>
    <x v="0"/>
    <s v="Yes"/>
    <n v="30"/>
    <x v="0"/>
    <n v="20"/>
    <n v="3"/>
    <n v="62"/>
  </r>
  <r>
    <n v="3350"/>
    <s v="Hélio Martins"/>
    <x v="2"/>
    <x v="118"/>
    <s v="Yes"/>
    <n v="10"/>
    <x v="1"/>
    <s v="No"/>
    <s v="-"/>
    <x v="0"/>
    <n v="20"/>
    <n v="15"/>
    <n v="15"/>
  </r>
  <r>
    <n v="3351"/>
    <s v="Íris Santos"/>
    <x v="1"/>
    <x v="119"/>
    <s v="No"/>
    <n v="5"/>
    <x v="0"/>
    <s v="No"/>
    <s v="-"/>
    <x v="1"/>
    <n v="0"/>
    <n v="1"/>
    <n v="4"/>
  </r>
  <r>
    <n v="3352"/>
    <s v="João Marcelo"/>
    <x v="0"/>
    <x v="120"/>
    <s v="Yes"/>
    <n v="15"/>
    <x v="2"/>
    <s v="Yes"/>
    <n v="30"/>
    <x v="0"/>
    <n v="20"/>
    <n v="7"/>
    <n v="58"/>
  </r>
  <r>
    <n v="3353"/>
    <s v="Larissa Gomes"/>
    <x v="2"/>
    <x v="121"/>
    <s v="No"/>
    <n v="10"/>
    <x v="0"/>
    <s v="No"/>
    <s v="-"/>
    <x v="0"/>
    <n v="20"/>
    <n v="10"/>
    <n v="20"/>
  </r>
  <r>
    <n v="3354"/>
    <s v="Márcio Silva"/>
    <x v="1"/>
    <x v="122"/>
    <s v="Yes"/>
    <n v="5"/>
    <x v="1"/>
    <s v="No"/>
    <s v="-"/>
    <x v="1"/>
    <n v="0"/>
    <n v="0"/>
    <n v="5"/>
  </r>
  <r>
    <n v="3355"/>
    <s v="Nadia Costa"/>
    <x v="0"/>
    <x v="123"/>
    <s v="No"/>
    <n v="15"/>
    <x v="0"/>
    <s v="Yes"/>
    <n v="30"/>
    <x v="0"/>
    <n v="20"/>
    <n v="20"/>
    <n v="45"/>
  </r>
  <r>
    <n v="3356"/>
    <s v="Oscar Almeida"/>
    <x v="2"/>
    <x v="124"/>
    <s v="Yes"/>
    <n v="10"/>
    <x v="2"/>
    <s v="No"/>
    <s v="-"/>
    <x v="0"/>
    <n v="20"/>
    <n v="15"/>
    <n v="15"/>
  </r>
  <r>
    <n v="3357"/>
    <s v="Patricia Soares"/>
    <x v="1"/>
    <x v="125"/>
    <s v="No"/>
    <n v="5"/>
    <x v="0"/>
    <s v="No"/>
    <s v="-"/>
    <x v="1"/>
    <n v="0"/>
    <n v="1"/>
    <n v="4"/>
  </r>
  <r>
    <n v="3358"/>
    <s v="Quênia Barros"/>
    <x v="0"/>
    <x v="126"/>
    <s v="Yes"/>
    <n v="15"/>
    <x v="1"/>
    <s v="Yes"/>
    <n v="30"/>
    <x v="0"/>
    <n v="20"/>
    <n v="3"/>
    <n v="62"/>
  </r>
  <r>
    <n v="3359"/>
    <s v="Rafael Torres"/>
    <x v="2"/>
    <x v="127"/>
    <s v="No"/>
    <n v="10"/>
    <x v="0"/>
    <s v="No"/>
    <s v="-"/>
    <x v="0"/>
    <n v="20"/>
    <n v="10"/>
    <n v="20"/>
  </r>
  <r>
    <n v="3360"/>
    <s v="Silvia Nascimento"/>
    <x v="1"/>
    <x v="128"/>
    <s v="Yes"/>
    <n v="5"/>
    <x v="2"/>
    <s v="No"/>
    <s v="-"/>
    <x v="1"/>
    <n v="0"/>
    <n v="0"/>
    <n v="5"/>
  </r>
  <r>
    <n v="3361"/>
    <s v="Tiago Mendes"/>
    <x v="0"/>
    <x v="129"/>
    <s v="No"/>
    <n v="15"/>
    <x v="0"/>
    <s v="Yes"/>
    <n v="30"/>
    <x v="0"/>
    <n v="20"/>
    <n v="15"/>
    <n v="50"/>
  </r>
  <r>
    <n v="3362"/>
    <s v="Ursula Silva"/>
    <x v="2"/>
    <x v="130"/>
    <s v="Yes"/>
    <n v="10"/>
    <x v="1"/>
    <s v="No"/>
    <s v="-"/>
    <x v="0"/>
    <n v="20"/>
    <n v="15"/>
    <n v="15"/>
  </r>
  <r>
    <n v="3363"/>
    <s v="Vanessa Moraes"/>
    <x v="1"/>
    <x v="131"/>
    <s v="No"/>
    <n v="5"/>
    <x v="0"/>
    <s v="No"/>
    <s v="-"/>
    <x v="1"/>
    <n v="0"/>
    <n v="1"/>
    <n v="4"/>
  </r>
  <r>
    <n v="3364"/>
    <s v="Waldir Junior"/>
    <x v="0"/>
    <x v="132"/>
    <s v="Yes"/>
    <n v="15"/>
    <x v="2"/>
    <s v="Yes"/>
    <n v="30"/>
    <x v="0"/>
    <n v="20"/>
    <n v="7"/>
    <n v="58"/>
  </r>
  <r>
    <n v="3365"/>
    <s v="Xavier Lopes"/>
    <x v="2"/>
    <x v="133"/>
    <s v="No"/>
    <n v="10"/>
    <x v="0"/>
    <s v="No"/>
    <s v="-"/>
    <x v="0"/>
    <n v="20"/>
    <n v="10"/>
    <n v="20"/>
  </r>
  <r>
    <n v="3366"/>
    <s v="Yolanda Freitas"/>
    <x v="1"/>
    <x v="134"/>
    <s v="Yes"/>
    <n v="5"/>
    <x v="0"/>
    <s v="No"/>
    <s v="-"/>
    <x v="1"/>
    <n v="0"/>
    <n v="0"/>
    <n v="5"/>
  </r>
  <r>
    <n v="3367"/>
    <s v="Zacarias Nunes"/>
    <x v="0"/>
    <x v="135"/>
    <s v="No"/>
    <n v="15"/>
    <x v="2"/>
    <s v="Yes"/>
    <n v="30"/>
    <x v="0"/>
    <n v="20"/>
    <n v="7"/>
    <n v="58"/>
  </r>
  <r>
    <n v="3368"/>
    <s v="Ana Clara Barreto"/>
    <x v="2"/>
    <x v="136"/>
    <s v="Yes"/>
    <n v="10"/>
    <x v="1"/>
    <s v="No"/>
    <s v="-"/>
    <x v="0"/>
    <n v="20"/>
    <n v="10"/>
    <n v="20"/>
  </r>
  <r>
    <n v="3369"/>
    <s v="Bruno Henrique"/>
    <x v="1"/>
    <x v="137"/>
    <s v="No"/>
    <n v="5"/>
    <x v="2"/>
    <s v="No"/>
    <s v="-"/>
    <x v="1"/>
    <n v="0"/>
    <n v="1"/>
    <n v="4"/>
  </r>
  <r>
    <n v="3370"/>
    <s v="Carlos Eduardo"/>
    <x v="0"/>
    <x v="138"/>
    <s v="Yes"/>
    <n v="15"/>
    <x v="0"/>
    <s v="Yes"/>
    <n v="30"/>
    <x v="0"/>
    <n v="20"/>
    <n v="15"/>
    <n v="50"/>
  </r>
  <r>
    <n v="3371"/>
    <s v="Débora Lima"/>
    <x v="2"/>
    <x v="139"/>
    <s v="No"/>
    <n v="10"/>
    <x v="0"/>
    <s v="No"/>
    <s v="-"/>
    <x v="0"/>
    <n v="20"/>
    <n v="5"/>
    <n v="25"/>
  </r>
  <r>
    <n v="3372"/>
    <s v="Elisa Neves"/>
    <x v="1"/>
    <x v="140"/>
    <s v="Yes"/>
    <n v="5"/>
    <x v="1"/>
    <s v="No"/>
    <s v="-"/>
    <x v="1"/>
    <n v="0"/>
    <n v="0"/>
    <n v="5"/>
  </r>
  <r>
    <n v="3373"/>
    <s v="Fabiano Gomes"/>
    <x v="0"/>
    <x v="141"/>
    <s v="No"/>
    <n v="15"/>
    <x v="2"/>
    <s v="Yes"/>
    <n v="30"/>
    <x v="0"/>
    <n v="20"/>
    <n v="20"/>
    <n v="45"/>
  </r>
  <r>
    <n v="3374"/>
    <s v="Gisele Oliveira"/>
    <x v="2"/>
    <x v="142"/>
    <s v="Yes"/>
    <n v="10"/>
    <x v="2"/>
    <s v="No"/>
    <s v="-"/>
    <x v="0"/>
    <n v="20"/>
    <n v="12"/>
    <n v="18"/>
  </r>
  <r>
    <n v="3375"/>
    <s v="Héctor Silva"/>
    <x v="1"/>
    <x v="143"/>
    <s v="No"/>
    <n v="5"/>
    <x v="0"/>
    <s v="No"/>
    <s v="-"/>
    <x v="1"/>
    <n v="0"/>
    <n v="2"/>
    <n v="3"/>
  </r>
  <r>
    <n v="3376"/>
    <s v="Igor Martins"/>
    <x v="0"/>
    <x v="144"/>
    <s v="Yes"/>
    <n v="15"/>
    <x v="1"/>
    <s v="Yes"/>
    <n v="30"/>
    <x v="0"/>
    <n v="20"/>
    <n v="5"/>
    <n v="60"/>
  </r>
  <r>
    <n v="3377"/>
    <s v="Joana Figueiredo"/>
    <x v="2"/>
    <x v="145"/>
    <s v="No"/>
    <n v="10"/>
    <x v="0"/>
    <s v="No"/>
    <s v="-"/>
    <x v="0"/>
    <n v="20"/>
    <n v="10"/>
    <n v="20"/>
  </r>
  <r>
    <n v="3378"/>
    <s v="Kleber Machado"/>
    <x v="1"/>
    <x v="146"/>
    <s v="Yes"/>
    <n v="5"/>
    <x v="2"/>
    <s v="No"/>
    <s v="-"/>
    <x v="1"/>
    <n v="0"/>
    <n v="0"/>
    <n v="5"/>
  </r>
  <r>
    <n v="3379"/>
    <s v="Luciana Santos"/>
    <x v="0"/>
    <x v="147"/>
    <s v="No"/>
    <n v="15"/>
    <x v="0"/>
    <s v="Yes"/>
    <n v="30"/>
    <x v="0"/>
    <n v="20"/>
    <n v="3"/>
    <n v="62"/>
  </r>
  <r>
    <n v="3380"/>
    <s v="Marcos Teixeira"/>
    <x v="2"/>
    <x v="148"/>
    <s v="Yes"/>
    <n v="10"/>
    <x v="1"/>
    <s v="No"/>
    <s v="-"/>
    <x v="0"/>
    <n v="20"/>
    <n v="15"/>
    <n v="15"/>
  </r>
  <r>
    <n v="3381"/>
    <s v="Natalia Costa"/>
    <x v="1"/>
    <x v="149"/>
    <s v="No"/>
    <n v="5"/>
    <x v="0"/>
    <s v="No"/>
    <s v="-"/>
    <x v="1"/>
    <n v="0"/>
    <n v="1"/>
    <n v="4"/>
  </r>
  <r>
    <n v="3382"/>
    <s v="Oscar Ribeiro"/>
    <x v="0"/>
    <x v="150"/>
    <s v="Yes"/>
    <n v="15"/>
    <x v="2"/>
    <s v="Yes"/>
    <n v="30"/>
    <x v="0"/>
    <n v="20"/>
    <n v="7"/>
    <n v="58"/>
  </r>
  <r>
    <n v="3383"/>
    <s v="Patricia Almeida"/>
    <x v="2"/>
    <x v="151"/>
    <s v="No"/>
    <n v="10"/>
    <x v="0"/>
    <s v="No"/>
    <s v="-"/>
    <x v="0"/>
    <n v="20"/>
    <n v="10"/>
    <n v="20"/>
  </r>
  <r>
    <n v="3384"/>
    <s v="Quirino Junior"/>
    <x v="1"/>
    <x v="152"/>
    <s v="Yes"/>
    <n v="5"/>
    <x v="1"/>
    <s v="No"/>
    <s v="-"/>
    <x v="1"/>
    <n v="0"/>
    <n v="0"/>
    <n v="5"/>
  </r>
  <r>
    <n v="3385"/>
    <s v="Renata Machado"/>
    <x v="0"/>
    <x v="153"/>
    <s v="No"/>
    <n v="15"/>
    <x v="0"/>
    <s v="Yes"/>
    <n v="30"/>
    <x v="0"/>
    <n v="20"/>
    <n v="20"/>
    <n v="45"/>
  </r>
  <r>
    <n v="3386"/>
    <s v="Sônia Alves"/>
    <x v="2"/>
    <x v="154"/>
    <s v="Yes"/>
    <n v="10"/>
    <x v="2"/>
    <s v="No"/>
    <s v="-"/>
    <x v="0"/>
    <n v="20"/>
    <n v="15"/>
    <n v="15"/>
  </r>
  <r>
    <n v="3387"/>
    <s v="Tiago Nunes"/>
    <x v="1"/>
    <x v="155"/>
    <s v="No"/>
    <n v="5"/>
    <x v="0"/>
    <s v="No"/>
    <s v="-"/>
    <x v="1"/>
    <n v="0"/>
    <n v="1"/>
    <n v="4"/>
  </r>
  <r>
    <n v="3388"/>
    <s v="Ulysses Pereira"/>
    <x v="0"/>
    <x v="156"/>
    <s v="Yes"/>
    <n v="15"/>
    <x v="1"/>
    <s v="Yes"/>
    <n v="30"/>
    <x v="0"/>
    <n v="20"/>
    <n v="3"/>
    <n v="62"/>
  </r>
  <r>
    <n v="3389"/>
    <s v="Vanessa Lima"/>
    <x v="2"/>
    <x v="157"/>
    <s v="No"/>
    <n v="10"/>
    <x v="0"/>
    <s v="No"/>
    <s v="-"/>
    <x v="0"/>
    <n v="20"/>
    <n v="10"/>
    <n v="20"/>
  </r>
  <r>
    <n v="3390"/>
    <s v="Wagner Santos"/>
    <x v="1"/>
    <x v="158"/>
    <s v="Yes"/>
    <n v="5"/>
    <x v="2"/>
    <s v="No"/>
    <s v="-"/>
    <x v="1"/>
    <n v="0"/>
    <n v="0"/>
    <n v="5"/>
  </r>
  <r>
    <n v="3391"/>
    <s v="Xuxa Meneghel"/>
    <x v="0"/>
    <x v="159"/>
    <s v="No"/>
    <n v="15"/>
    <x v="0"/>
    <s v="Yes"/>
    <n v="30"/>
    <x v="0"/>
    <n v="20"/>
    <n v="15"/>
    <n v="50"/>
  </r>
  <r>
    <n v="3392"/>
    <s v="Yasmin Silva"/>
    <x v="2"/>
    <x v="160"/>
    <s v="Yes"/>
    <n v="10"/>
    <x v="1"/>
    <s v="No"/>
    <s v="-"/>
    <x v="0"/>
    <n v="20"/>
    <n v="15"/>
    <n v="15"/>
  </r>
  <r>
    <n v="3393"/>
    <s v="Zacarias de Souza"/>
    <x v="1"/>
    <x v="161"/>
    <s v="No"/>
    <n v="5"/>
    <x v="0"/>
    <s v="No"/>
    <s v="-"/>
    <x v="1"/>
    <n v="0"/>
    <n v="1"/>
    <n v="4"/>
  </r>
  <r>
    <n v="3394"/>
    <s v="André Lima"/>
    <x v="0"/>
    <x v="162"/>
    <s v="Yes"/>
    <n v="15"/>
    <x v="2"/>
    <s v="Yes"/>
    <n v="30"/>
    <x v="0"/>
    <n v="20"/>
    <n v="7"/>
    <n v="58"/>
  </r>
  <r>
    <n v="3395"/>
    <s v="Bianca Freitas"/>
    <x v="2"/>
    <x v="163"/>
    <s v="No"/>
    <n v="10"/>
    <x v="0"/>
    <s v="No"/>
    <s v="-"/>
    <x v="0"/>
    <n v="20"/>
    <n v="10"/>
    <n v="20"/>
  </r>
  <r>
    <n v="3396"/>
    <s v="Caio Mendes"/>
    <x v="1"/>
    <x v="164"/>
    <s v="Yes"/>
    <n v="5"/>
    <x v="1"/>
    <s v="No"/>
    <s v="-"/>
    <x v="1"/>
    <n v="0"/>
    <n v="0"/>
    <n v="5"/>
  </r>
  <r>
    <n v="3397"/>
    <s v="Daniela Moura"/>
    <x v="0"/>
    <x v="165"/>
    <s v="No"/>
    <n v="15"/>
    <x v="0"/>
    <s v="Yes"/>
    <n v="30"/>
    <x v="0"/>
    <n v="20"/>
    <n v="20"/>
    <n v="45"/>
  </r>
  <r>
    <n v="3398"/>
    <s v="Eduardo Costa"/>
    <x v="2"/>
    <x v="166"/>
    <s v="Yes"/>
    <n v="10"/>
    <x v="2"/>
    <s v="No"/>
    <s v="-"/>
    <x v="0"/>
    <n v="20"/>
    <n v="15"/>
    <n v="15"/>
  </r>
  <r>
    <n v="3399"/>
    <s v="Fernanda Gomes"/>
    <x v="1"/>
    <x v="167"/>
    <s v="No"/>
    <n v="5"/>
    <x v="0"/>
    <s v="No"/>
    <s v="-"/>
    <x v="1"/>
    <n v="0"/>
    <n v="1"/>
    <n v="4"/>
  </r>
  <r>
    <n v="3400"/>
    <s v="Guilherme Souza"/>
    <x v="0"/>
    <x v="168"/>
    <s v="Yes"/>
    <n v="15"/>
    <x v="1"/>
    <s v="Yes"/>
    <n v="30"/>
    <x v="0"/>
    <n v="20"/>
    <n v="5"/>
    <n v="60"/>
  </r>
  <r>
    <n v="3401"/>
    <s v="Helena Ribeiro"/>
    <x v="2"/>
    <x v="169"/>
    <s v="No"/>
    <n v="10"/>
    <x v="0"/>
    <s v="No"/>
    <s v="-"/>
    <x v="0"/>
    <n v="20"/>
    <n v="10"/>
    <n v="20"/>
  </r>
  <r>
    <n v="3402"/>
    <s v="Igor Santos"/>
    <x v="1"/>
    <x v="170"/>
    <s v="Yes"/>
    <n v="5"/>
    <x v="2"/>
    <s v="No"/>
    <s v="-"/>
    <x v="1"/>
    <n v="0"/>
    <n v="0"/>
    <n v="5"/>
  </r>
  <r>
    <n v="3403"/>
    <s v="João Carvalho"/>
    <x v="0"/>
    <x v="171"/>
    <s v="No"/>
    <n v="15"/>
    <x v="0"/>
    <s v="Yes"/>
    <n v="30"/>
    <x v="0"/>
    <n v="20"/>
    <n v="3"/>
    <n v="62"/>
  </r>
  <r>
    <n v="3404"/>
    <s v="Klara Fagundes"/>
    <x v="2"/>
    <x v="172"/>
    <s v="Yes"/>
    <n v="10"/>
    <x v="1"/>
    <s v="No"/>
    <s v="-"/>
    <x v="0"/>
    <n v="20"/>
    <n v="15"/>
    <n v="15"/>
  </r>
  <r>
    <n v="3405"/>
    <s v="Lúcia Mendonça"/>
    <x v="1"/>
    <x v="173"/>
    <s v="No"/>
    <n v="5"/>
    <x v="0"/>
    <s v="No"/>
    <s v="-"/>
    <x v="1"/>
    <n v="0"/>
    <n v="1"/>
    <n v="4"/>
  </r>
  <r>
    <n v="3406"/>
    <s v="Marcelo Novaes"/>
    <x v="1"/>
    <x v="174"/>
    <s v="Yes"/>
    <n v="5"/>
    <x v="0"/>
    <s v="No"/>
    <s v="-"/>
    <x v="1"/>
    <n v="0"/>
    <n v="0"/>
    <n v="5"/>
  </r>
  <r>
    <n v="3407"/>
    <s v="Nina Pacheco"/>
    <x v="0"/>
    <x v="175"/>
    <s v="No"/>
    <n v="15"/>
    <x v="2"/>
    <s v="Yes"/>
    <n v="30"/>
    <x v="0"/>
    <n v="20"/>
    <n v="7"/>
    <n v="58"/>
  </r>
  <r>
    <n v="3408"/>
    <s v="Olívia Rios"/>
    <x v="2"/>
    <x v="176"/>
    <s v="Yes"/>
    <n v="10"/>
    <x v="1"/>
    <s v="No"/>
    <s v="-"/>
    <x v="0"/>
    <n v="20"/>
    <n v="10"/>
    <n v="20"/>
  </r>
  <r>
    <n v="3409"/>
    <s v="Paulo Quintana"/>
    <x v="1"/>
    <x v="177"/>
    <s v="No"/>
    <n v="5"/>
    <x v="2"/>
    <s v="No"/>
    <s v="-"/>
    <x v="1"/>
    <n v="0"/>
    <n v="1"/>
    <n v="4"/>
  </r>
  <r>
    <n v="3410"/>
    <s v="Raquel Domingos"/>
    <x v="0"/>
    <x v="178"/>
    <s v="Yes"/>
    <n v="15"/>
    <x v="0"/>
    <s v="Yes"/>
    <n v="30"/>
    <x v="0"/>
    <n v="20"/>
    <n v="15"/>
    <n v="50"/>
  </r>
  <r>
    <n v="3411"/>
    <s v="Samuel Viana"/>
    <x v="2"/>
    <x v="179"/>
    <s v="No"/>
    <n v="10"/>
    <x v="0"/>
    <s v="No"/>
    <s v="-"/>
    <x v="0"/>
    <n v="20"/>
    <n v="5"/>
    <n v="25"/>
  </r>
  <r>
    <n v="3412"/>
    <s v="Tatiane Rocha"/>
    <x v="1"/>
    <x v="180"/>
    <s v="Yes"/>
    <n v="5"/>
    <x v="1"/>
    <s v="No"/>
    <s v="-"/>
    <x v="1"/>
    <n v="0"/>
    <n v="0"/>
    <n v="5"/>
  </r>
  <r>
    <n v="3413"/>
    <s v="Ulysses Farias"/>
    <x v="0"/>
    <x v="181"/>
    <s v="No"/>
    <n v="15"/>
    <x v="2"/>
    <s v="Yes"/>
    <n v="30"/>
    <x v="0"/>
    <n v="20"/>
    <n v="20"/>
    <n v="45"/>
  </r>
  <r>
    <n v="3414"/>
    <s v="Vanessa Moreira"/>
    <x v="2"/>
    <x v="182"/>
    <s v="Yes"/>
    <n v="10"/>
    <x v="2"/>
    <s v="No"/>
    <s v="-"/>
    <x v="0"/>
    <n v="20"/>
    <n v="12"/>
    <n v="18"/>
  </r>
  <r>
    <n v="3415"/>
    <s v="William Carvalho"/>
    <x v="1"/>
    <x v="183"/>
    <s v="No"/>
    <n v="5"/>
    <x v="0"/>
    <s v="No"/>
    <s v="-"/>
    <x v="1"/>
    <n v="0"/>
    <n v="2"/>
    <n v="3"/>
  </r>
  <r>
    <n v="3416"/>
    <s v="Ximena Barros"/>
    <x v="0"/>
    <x v="184"/>
    <s v="Yes"/>
    <n v="15"/>
    <x v="1"/>
    <s v="Yes"/>
    <n v="30"/>
    <x v="0"/>
    <n v="20"/>
    <n v="5"/>
    <n v="60"/>
  </r>
  <r>
    <n v="3417"/>
    <s v="Yara Machado"/>
    <x v="2"/>
    <x v="185"/>
    <s v="No"/>
    <n v="10"/>
    <x v="0"/>
    <s v="No"/>
    <s v="-"/>
    <x v="0"/>
    <n v="20"/>
    <n v="10"/>
    <n v="20"/>
  </r>
  <r>
    <n v="3418"/>
    <s v="Zacarias Costa"/>
    <x v="1"/>
    <x v="186"/>
    <s v="Yes"/>
    <n v="5"/>
    <x v="2"/>
    <s v="No"/>
    <s v="-"/>
    <x v="1"/>
    <n v="0"/>
    <n v="0"/>
    <n v="5"/>
  </r>
  <r>
    <n v="3419"/>
    <s v="André Lopes"/>
    <x v="0"/>
    <x v="187"/>
    <s v="No"/>
    <n v="15"/>
    <x v="0"/>
    <s v="Yes"/>
    <n v="30"/>
    <x v="0"/>
    <n v="20"/>
    <n v="3"/>
    <n v="62"/>
  </r>
  <r>
    <n v="3420"/>
    <s v="Beatriz Souza"/>
    <x v="2"/>
    <x v="188"/>
    <s v="Yes"/>
    <n v="10"/>
    <x v="1"/>
    <s v="No"/>
    <s v="-"/>
    <x v="0"/>
    <n v="20"/>
    <n v="15"/>
    <n v="15"/>
  </r>
  <r>
    <n v="3421"/>
    <s v="Caio Pereira"/>
    <x v="1"/>
    <x v="189"/>
    <s v="No"/>
    <n v="5"/>
    <x v="0"/>
    <s v="No"/>
    <s v="-"/>
    <x v="1"/>
    <n v="0"/>
    <n v="1"/>
    <n v="4"/>
  </r>
  <r>
    <n v="3422"/>
    <s v="Daniela Araújo"/>
    <x v="0"/>
    <x v="190"/>
    <s v="Yes"/>
    <n v="15"/>
    <x v="2"/>
    <s v="Yes"/>
    <n v="30"/>
    <x v="0"/>
    <n v="20"/>
    <n v="7"/>
    <n v="58"/>
  </r>
  <r>
    <n v="3423"/>
    <s v="Eduardo Santos"/>
    <x v="2"/>
    <x v="191"/>
    <s v="No"/>
    <n v="10"/>
    <x v="0"/>
    <s v="No"/>
    <s v="-"/>
    <x v="0"/>
    <n v="20"/>
    <n v="10"/>
    <n v="20"/>
  </r>
  <r>
    <n v="3424"/>
    <s v="Fernanda Lima"/>
    <x v="1"/>
    <x v="192"/>
    <s v="Yes"/>
    <n v="5"/>
    <x v="1"/>
    <s v="No"/>
    <s v="-"/>
    <x v="1"/>
    <n v="0"/>
    <n v="0"/>
    <n v="5"/>
  </r>
  <r>
    <n v="3425"/>
    <s v="Gabriel Teixeira"/>
    <x v="0"/>
    <x v="193"/>
    <s v="No"/>
    <n v="15"/>
    <x v="0"/>
    <s v="Yes"/>
    <n v="30"/>
    <x v="0"/>
    <n v="20"/>
    <n v="20"/>
    <n v="45"/>
  </r>
  <r>
    <n v="3426"/>
    <s v="Helena Ribeiro"/>
    <x v="2"/>
    <x v="194"/>
    <s v="Yes"/>
    <n v="10"/>
    <x v="2"/>
    <s v="No"/>
    <s v="-"/>
    <x v="0"/>
    <n v="20"/>
    <n v="15"/>
    <n v="15"/>
  </r>
  <r>
    <n v="3427"/>
    <s v="Igor Mendes"/>
    <x v="1"/>
    <x v="195"/>
    <s v="No"/>
    <n v="5"/>
    <x v="0"/>
    <s v="No"/>
    <s v="-"/>
    <x v="1"/>
    <n v="0"/>
    <n v="1"/>
    <n v="4"/>
  </r>
  <r>
    <n v="3428"/>
    <s v="Joana Silveira"/>
    <x v="0"/>
    <x v="196"/>
    <s v="Yes"/>
    <n v="15"/>
    <x v="1"/>
    <s v="Yes"/>
    <n v="30"/>
    <x v="0"/>
    <n v="20"/>
    <n v="3"/>
    <n v="62"/>
  </r>
  <r>
    <n v="3429"/>
    <s v="Lucas Martins"/>
    <x v="2"/>
    <x v="197"/>
    <s v="No"/>
    <n v="10"/>
    <x v="0"/>
    <s v="No"/>
    <s v="-"/>
    <x v="0"/>
    <n v="20"/>
    <n v="10"/>
    <n v="20"/>
  </r>
  <r>
    <n v="3430"/>
    <s v="Marcela Gouveia"/>
    <x v="1"/>
    <x v="198"/>
    <s v="Yes"/>
    <n v="5"/>
    <x v="2"/>
    <s v="No"/>
    <s v="-"/>
    <x v="1"/>
    <n v="0"/>
    <n v="0"/>
    <n v="5"/>
  </r>
  <r>
    <n v="3431"/>
    <s v="Nicolas Borges"/>
    <x v="0"/>
    <x v="199"/>
    <s v="No"/>
    <n v="15"/>
    <x v="0"/>
    <s v="Yes"/>
    <n v="30"/>
    <x v="0"/>
    <n v="20"/>
    <n v="15"/>
    <n v="50"/>
  </r>
  <r>
    <n v="3432"/>
    <s v="Olivia Freitas"/>
    <x v="2"/>
    <x v="200"/>
    <s v="Yes"/>
    <n v="10"/>
    <x v="1"/>
    <s v="No"/>
    <s v="-"/>
    <x v="0"/>
    <n v="20"/>
    <n v="15"/>
    <n v="15"/>
  </r>
  <r>
    <n v="3433"/>
    <s v="Paulo Nogueira"/>
    <x v="1"/>
    <x v="201"/>
    <s v="No"/>
    <n v="5"/>
    <x v="0"/>
    <s v="No"/>
    <s v="-"/>
    <x v="1"/>
    <n v="0"/>
    <n v="1"/>
    <n v="4"/>
  </r>
  <r>
    <n v="3434"/>
    <s v="Raquel Andrade"/>
    <x v="0"/>
    <x v="202"/>
    <s v="Yes"/>
    <n v="15"/>
    <x v="2"/>
    <s v="Yes"/>
    <n v="30"/>
    <x v="0"/>
    <n v="20"/>
    <n v="7"/>
    <n v="58"/>
  </r>
  <r>
    <n v="3435"/>
    <s v="Sônia Carvalho"/>
    <x v="2"/>
    <x v="203"/>
    <s v="No"/>
    <n v="10"/>
    <x v="0"/>
    <s v="No"/>
    <s v="-"/>
    <x v="0"/>
    <n v="20"/>
    <n v="10"/>
    <n v="20"/>
  </r>
  <r>
    <n v="3436"/>
    <s v="Tiago Rodrigues"/>
    <x v="1"/>
    <x v="204"/>
    <s v="Yes"/>
    <n v="5"/>
    <x v="0"/>
    <s v="No"/>
    <s v="-"/>
    <x v="1"/>
    <n v="0"/>
    <n v="0"/>
    <n v="5"/>
  </r>
  <r>
    <n v="3437"/>
    <s v="Ursula Monteiro"/>
    <x v="0"/>
    <x v="205"/>
    <s v="No"/>
    <n v="15"/>
    <x v="2"/>
    <s v="Yes"/>
    <n v="30"/>
    <x v="0"/>
    <n v="20"/>
    <n v="7"/>
    <n v="58"/>
  </r>
  <r>
    <n v="3438"/>
    <s v="Vanessa Pereira"/>
    <x v="2"/>
    <x v="206"/>
    <s v="Yes"/>
    <n v="10"/>
    <x v="1"/>
    <s v="No"/>
    <s v="-"/>
    <x v="0"/>
    <n v="20"/>
    <n v="10"/>
    <n v="20"/>
  </r>
  <r>
    <n v="3439"/>
    <s v="Walter Silva"/>
    <x v="1"/>
    <x v="207"/>
    <s v="No"/>
    <n v="5"/>
    <x v="2"/>
    <s v="No"/>
    <s v="-"/>
    <x v="1"/>
    <n v="0"/>
    <n v="1"/>
    <n v="4"/>
  </r>
  <r>
    <n v="3440"/>
    <s v="Xavier Almeida"/>
    <x v="0"/>
    <x v="208"/>
    <s v="Yes"/>
    <n v="15"/>
    <x v="0"/>
    <s v="Yes"/>
    <n v="30"/>
    <x v="0"/>
    <n v="20"/>
    <n v="15"/>
    <n v="50"/>
  </r>
  <r>
    <n v="3441"/>
    <s v="Yasmine Correia"/>
    <x v="2"/>
    <x v="209"/>
    <s v="No"/>
    <n v="10"/>
    <x v="0"/>
    <s v="No"/>
    <s v="-"/>
    <x v="0"/>
    <n v="20"/>
    <n v="5"/>
    <n v="25"/>
  </r>
  <r>
    <n v="3442"/>
    <s v="Zacarias Almeida"/>
    <x v="1"/>
    <x v="210"/>
    <s v="Yes"/>
    <n v="5"/>
    <x v="1"/>
    <s v="No"/>
    <s v="-"/>
    <x v="1"/>
    <n v="0"/>
    <n v="0"/>
    <n v="5"/>
  </r>
  <r>
    <n v="3443"/>
    <s v="Amanda Costa"/>
    <x v="0"/>
    <x v="211"/>
    <s v="No"/>
    <n v="15"/>
    <x v="2"/>
    <s v="Yes"/>
    <n v="30"/>
    <x v="0"/>
    <n v="20"/>
    <n v="20"/>
    <n v="45"/>
  </r>
  <r>
    <n v="3444"/>
    <s v="Bruno Ferreira"/>
    <x v="2"/>
    <x v="212"/>
    <s v="Yes"/>
    <n v="10"/>
    <x v="2"/>
    <s v="No"/>
    <s v="-"/>
    <x v="0"/>
    <n v="20"/>
    <n v="12"/>
    <n v="18"/>
  </r>
  <r>
    <n v="3445"/>
    <s v="Carla Dias"/>
    <x v="1"/>
    <x v="213"/>
    <s v="No"/>
    <n v="5"/>
    <x v="0"/>
    <s v="No"/>
    <s v="-"/>
    <x v="1"/>
    <n v="0"/>
    <n v="2"/>
    <n v="3"/>
  </r>
  <r>
    <n v="3446"/>
    <s v="Diogo Martins"/>
    <x v="0"/>
    <x v="214"/>
    <s v="Yes"/>
    <n v="15"/>
    <x v="1"/>
    <s v="Yes"/>
    <n v="30"/>
    <x v="0"/>
    <n v="20"/>
    <n v="5"/>
    <n v="60"/>
  </r>
  <r>
    <n v="3447"/>
    <s v="Elisa Campos"/>
    <x v="2"/>
    <x v="215"/>
    <s v="No"/>
    <n v="10"/>
    <x v="0"/>
    <s v="No"/>
    <s v="-"/>
    <x v="0"/>
    <n v="20"/>
    <n v="10"/>
    <n v="20"/>
  </r>
  <r>
    <n v="3448"/>
    <s v="Fabiana Lima"/>
    <x v="1"/>
    <x v="216"/>
    <s v="Yes"/>
    <n v="5"/>
    <x v="2"/>
    <s v="No"/>
    <s v="-"/>
    <x v="1"/>
    <n v="0"/>
    <n v="0"/>
    <n v="5"/>
  </r>
  <r>
    <n v="3449"/>
    <s v="Gabriel Santos"/>
    <x v="0"/>
    <x v="217"/>
    <s v="No"/>
    <n v="15"/>
    <x v="0"/>
    <s v="Yes"/>
    <n v="30"/>
    <x v="0"/>
    <n v="20"/>
    <n v="3"/>
    <n v="62"/>
  </r>
  <r>
    <n v="3450"/>
    <s v="Helena Ferreira"/>
    <x v="2"/>
    <x v="218"/>
    <s v="Yes"/>
    <n v="10"/>
    <x v="1"/>
    <s v="No"/>
    <s v="-"/>
    <x v="0"/>
    <n v="20"/>
    <n v="15"/>
    <n v="15"/>
  </r>
  <r>
    <n v="3451"/>
    <s v="Ígor Nunes"/>
    <x v="1"/>
    <x v="219"/>
    <s v="No"/>
    <n v="5"/>
    <x v="0"/>
    <s v="No"/>
    <s v="-"/>
    <x v="1"/>
    <n v="0"/>
    <n v="1"/>
    <n v="4"/>
  </r>
  <r>
    <n v="3452"/>
    <s v="Joana Silveira"/>
    <x v="0"/>
    <x v="220"/>
    <s v="Yes"/>
    <n v="15"/>
    <x v="2"/>
    <s v="Yes"/>
    <n v="30"/>
    <x v="0"/>
    <n v="20"/>
    <n v="7"/>
    <n v="58"/>
  </r>
  <r>
    <n v="3453"/>
    <s v="Kléber Oliveira"/>
    <x v="2"/>
    <x v="221"/>
    <s v="No"/>
    <n v="10"/>
    <x v="0"/>
    <s v="No"/>
    <s v="-"/>
    <x v="0"/>
    <n v="20"/>
    <n v="10"/>
    <n v="20"/>
  </r>
  <r>
    <n v="3454"/>
    <s v="Luciana Morais"/>
    <x v="1"/>
    <x v="222"/>
    <s v="Yes"/>
    <n v="5"/>
    <x v="1"/>
    <s v="No"/>
    <s v="-"/>
    <x v="1"/>
    <n v="0"/>
    <n v="0"/>
    <n v="5"/>
  </r>
  <r>
    <n v="3455"/>
    <s v="Marcos Vinícius"/>
    <x v="0"/>
    <x v="223"/>
    <s v="No"/>
    <n v="15"/>
    <x v="0"/>
    <s v="Yes"/>
    <n v="30"/>
    <x v="0"/>
    <n v="20"/>
    <n v="20"/>
    <n v="45"/>
  </r>
  <r>
    <n v="3456"/>
    <s v="Natália Barros"/>
    <x v="2"/>
    <x v="224"/>
    <s v="Yes"/>
    <n v="10"/>
    <x v="2"/>
    <s v="No"/>
    <s v="-"/>
    <x v="0"/>
    <n v="20"/>
    <n v="15"/>
    <n v="15"/>
  </r>
  <r>
    <n v="3457"/>
    <s v="Oscar Sampaio"/>
    <x v="1"/>
    <x v="225"/>
    <s v="No"/>
    <n v="5"/>
    <x v="0"/>
    <s v="No"/>
    <s v="-"/>
    <x v="1"/>
    <n v="0"/>
    <n v="1"/>
    <n v="4"/>
  </r>
  <r>
    <n v="3458"/>
    <s v="Patrícia Leite"/>
    <x v="0"/>
    <x v="226"/>
    <s v="Yes"/>
    <n v="15"/>
    <x v="1"/>
    <s v="Yes"/>
    <n v="30"/>
    <x v="0"/>
    <n v="20"/>
    <n v="3"/>
    <n v="62"/>
  </r>
  <r>
    <n v="3459"/>
    <s v="Quênia Rocha"/>
    <x v="2"/>
    <x v="227"/>
    <s v="No"/>
    <n v="10"/>
    <x v="0"/>
    <s v="No"/>
    <s v="-"/>
    <x v="0"/>
    <n v="20"/>
    <n v="10"/>
    <n v="20"/>
  </r>
  <r>
    <n v="3460"/>
    <s v="Rafael Torres"/>
    <x v="1"/>
    <x v="228"/>
    <s v="Yes"/>
    <n v="5"/>
    <x v="2"/>
    <s v="No"/>
    <s v="-"/>
    <x v="1"/>
    <n v="0"/>
    <n v="0"/>
    <n v="5"/>
  </r>
  <r>
    <n v="3461"/>
    <s v="Sandra Gouveia"/>
    <x v="0"/>
    <x v="229"/>
    <s v="No"/>
    <n v="15"/>
    <x v="0"/>
    <s v="Yes"/>
    <n v="30"/>
    <x v="0"/>
    <n v="20"/>
    <n v="15"/>
    <n v="50"/>
  </r>
  <r>
    <n v="3462"/>
    <s v="Tiago Lacerda"/>
    <x v="2"/>
    <x v="230"/>
    <s v="Yes"/>
    <n v="10"/>
    <x v="1"/>
    <s v="No"/>
    <s v="-"/>
    <x v="0"/>
    <n v="20"/>
    <n v="15"/>
    <n v="15"/>
  </r>
  <r>
    <n v="3463"/>
    <s v="Ursula Fonseca"/>
    <x v="1"/>
    <x v="231"/>
    <s v="No"/>
    <n v="5"/>
    <x v="0"/>
    <s v="No"/>
    <s v="-"/>
    <x v="1"/>
    <n v="0"/>
    <n v="1"/>
    <n v="4"/>
  </r>
  <r>
    <n v="3464"/>
    <s v="Vanessa Andrade"/>
    <x v="0"/>
    <x v="232"/>
    <s v="Yes"/>
    <n v="15"/>
    <x v="2"/>
    <s v="Yes"/>
    <n v="30"/>
    <x v="0"/>
    <n v="20"/>
    <n v="7"/>
    <n v="58"/>
  </r>
  <r>
    <n v="3465"/>
    <s v="William Castro"/>
    <x v="2"/>
    <x v="233"/>
    <s v="No"/>
    <n v="10"/>
    <x v="0"/>
    <s v="No"/>
    <s v="-"/>
    <x v="0"/>
    <n v="20"/>
    <n v="10"/>
    <n v="20"/>
  </r>
  <r>
    <n v="3466"/>
    <s v="Xavier Monteiro"/>
    <x v="1"/>
    <x v="234"/>
    <s v="Yes"/>
    <n v="5"/>
    <x v="1"/>
    <s v="No"/>
    <s v="-"/>
    <x v="1"/>
    <n v="0"/>
    <n v="0"/>
    <n v="5"/>
  </r>
  <r>
    <n v="3467"/>
    <s v="Yasmin Figueira"/>
    <x v="0"/>
    <x v="235"/>
    <s v="No"/>
    <n v="15"/>
    <x v="0"/>
    <s v="Yes"/>
    <n v="30"/>
    <x v="0"/>
    <n v="20"/>
    <n v="15"/>
    <n v="50"/>
  </r>
  <r>
    <n v="3468"/>
    <s v="Zacarias Mendonça"/>
    <x v="2"/>
    <x v="236"/>
    <s v="Yes"/>
    <n v="10"/>
    <x v="2"/>
    <s v="No"/>
    <s v="-"/>
    <x v="0"/>
    <n v="20"/>
    <n v="12"/>
    <n v="18"/>
  </r>
  <r>
    <n v="3469"/>
    <s v="Amanda Menezes"/>
    <x v="1"/>
    <x v="237"/>
    <s v="No"/>
    <n v="5"/>
    <x v="0"/>
    <s v="No"/>
    <s v="-"/>
    <x v="1"/>
    <n v="0"/>
    <n v="2"/>
    <n v="3"/>
  </r>
  <r>
    <n v="3470"/>
    <s v="Bruno Santos"/>
    <x v="0"/>
    <x v="238"/>
    <s v="Yes"/>
    <n v="15"/>
    <x v="1"/>
    <s v="Yes"/>
    <n v="30"/>
    <x v="0"/>
    <n v="20"/>
    <n v="5"/>
    <n v="60"/>
  </r>
  <r>
    <n v="3471"/>
    <s v="Carla Ferreira"/>
    <x v="2"/>
    <x v="239"/>
    <s v="No"/>
    <n v="10"/>
    <x v="0"/>
    <s v="No"/>
    <s v="-"/>
    <x v="0"/>
    <n v="20"/>
    <n v="10"/>
    <n v="20"/>
  </r>
  <r>
    <n v="3472"/>
    <s v="Diogo Alves"/>
    <x v="1"/>
    <x v="240"/>
    <s v="Yes"/>
    <n v="5"/>
    <x v="2"/>
    <s v="No"/>
    <s v="-"/>
    <x v="1"/>
    <n v="0"/>
    <n v="0"/>
    <n v="5"/>
  </r>
  <r>
    <n v="3473"/>
    <s v="Elisa Neves"/>
    <x v="0"/>
    <x v="241"/>
    <s v="No"/>
    <n v="15"/>
    <x v="0"/>
    <s v="Yes"/>
    <n v="30"/>
    <x v="0"/>
    <n v="20"/>
    <n v="3"/>
    <n v="62"/>
  </r>
  <r>
    <n v="3474"/>
    <s v="Fabiano Pires"/>
    <x v="2"/>
    <x v="242"/>
    <s v="Yes"/>
    <n v="10"/>
    <x v="1"/>
    <s v="No"/>
    <s v="-"/>
    <x v="0"/>
    <n v="20"/>
    <n v="15"/>
    <n v="15"/>
  </r>
  <r>
    <n v="3475"/>
    <s v="Giovana Ribeiro"/>
    <x v="1"/>
    <x v="243"/>
    <s v="No"/>
    <n v="5"/>
    <x v="0"/>
    <s v="No"/>
    <s v="-"/>
    <x v="1"/>
    <n v="0"/>
    <n v="1"/>
    <n v="4"/>
  </r>
  <r>
    <n v="3476"/>
    <s v="Hélio Costa"/>
    <x v="0"/>
    <x v="244"/>
    <s v="Yes"/>
    <n v="15"/>
    <x v="2"/>
    <s v="Yes"/>
    <n v="30"/>
    <x v="0"/>
    <n v="20"/>
    <n v="7"/>
    <n v="58"/>
  </r>
  <r>
    <n v="3477"/>
    <s v="Íris Loureiro"/>
    <x v="2"/>
    <x v="245"/>
    <s v="No"/>
    <n v="10"/>
    <x v="0"/>
    <s v="No"/>
    <s v="-"/>
    <x v="0"/>
    <n v="20"/>
    <n v="10"/>
    <n v="20"/>
  </r>
  <r>
    <n v="3478"/>
    <s v="João Pereira"/>
    <x v="1"/>
    <x v="246"/>
    <s v="Yes"/>
    <n v="5"/>
    <x v="1"/>
    <s v="No"/>
    <s v="-"/>
    <x v="1"/>
    <n v="0"/>
    <n v="0"/>
    <n v="5"/>
  </r>
  <r>
    <n v="3479"/>
    <s v="Klara Silva"/>
    <x v="0"/>
    <x v="247"/>
    <s v="No"/>
    <n v="15"/>
    <x v="0"/>
    <s v="Yes"/>
    <n v="30"/>
    <x v="0"/>
    <n v="20"/>
    <n v="20"/>
    <n v="45"/>
  </r>
  <r>
    <n v="3480"/>
    <s v="Luciana Barros"/>
    <x v="2"/>
    <x v="248"/>
    <s v="Yes"/>
    <n v="10"/>
    <x v="2"/>
    <s v="No"/>
    <s v="-"/>
    <x v="0"/>
    <n v="20"/>
    <n v="15"/>
    <n v="15"/>
  </r>
  <r>
    <n v="3481"/>
    <s v="Marcos Gomes"/>
    <x v="1"/>
    <x v="249"/>
    <s v="No"/>
    <n v="5"/>
    <x v="0"/>
    <s v="No"/>
    <s v="-"/>
    <x v="1"/>
    <n v="0"/>
    <n v="1"/>
    <n v="4"/>
  </r>
  <r>
    <n v="3482"/>
    <s v="Natália Soares"/>
    <x v="0"/>
    <x v="250"/>
    <s v="Yes"/>
    <n v="15"/>
    <x v="1"/>
    <s v="Yes"/>
    <n v="30"/>
    <x v="0"/>
    <n v="20"/>
    <n v="3"/>
    <n v="62"/>
  </r>
  <r>
    <n v="3483"/>
    <s v="Oscar Machado"/>
    <x v="2"/>
    <x v="251"/>
    <s v="No"/>
    <n v="10"/>
    <x v="0"/>
    <s v="No"/>
    <s v="-"/>
    <x v="0"/>
    <n v="20"/>
    <n v="10"/>
    <n v="20"/>
  </r>
  <r>
    <n v="3484"/>
    <s v="Patrícia Lima"/>
    <x v="1"/>
    <x v="252"/>
    <s v="Yes"/>
    <n v="5"/>
    <x v="2"/>
    <s v="No"/>
    <s v="-"/>
    <x v="1"/>
    <n v="0"/>
    <n v="0"/>
    <n v="5"/>
  </r>
  <r>
    <n v="3485"/>
    <s v="Quirino Neto"/>
    <x v="0"/>
    <x v="253"/>
    <s v="No"/>
    <n v="15"/>
    <x v="0"/>
    <s v="Yes"/>
    <n v="30"/>
    <x v="0"/>
    <n v="20"/>
    <n v="15"/>
    <n v="50"/>
  </r>
  <r>
    <n v="3486"/>
    <s v="Rafaela Souza"/>
    <x v="1"/>
    <x v="254"/>
    <s v="Yes"/>
    <n v="5"/>
    <x v="0"/>
    <s v="No"/>
    <s v="-"/>
    <x v="1"/>
    <n v="0"/>
    <n v="0"/>
    <n v="5"/>
  </r>
  <r>
    <n v="3487"/>
    <s v="Sandro Almeida"/>
    <x v="0"/>
    <x v="255"/>
    <s v="No"/>
    <n v="15"/>
    <x v="2"/>
    <s v="Yes"/>
    <n v="30"/>
    <x v="0"/>
    <n v="20"/>
    <n v="7"/>
    <n v="58"/>
  </r>
  <r>
    <n v="3488"/>
    <s v="Tânia Ribeiro"/>
    <x v="2"/>
    <x v="256"/>
    <s v="Yes"/>
    <n v="10"/>
    <x v="1"/>
    <s v="No"/>
    <s v="-"/>
    <x v="0"/>
    <n v="20"/>
    <n v="10"/>
    <n v="20"/>
  </r>
  <r>
    <n v="3489"/>
    <s v="Ugo Dias"/>
    <x v="1"/>
    <x v="257"/>
    <s v="No"/>
    <n v="5"/>
    <x v="2"/>
    <s v="No"/>
    <s v="-"/>
    <x v="1"/>
    <n v="0"/>
    <n v="1"/>
    <n v="4"/>
  </r>
  <r>
    <n v="3490"/>
    <s v="Valéria Lima"/>
    <x v="0"/>
    <x v="258"/>
    <s v="Yes"/>
    <n v="15"/>
    <x v="0"/>
    <s v="Yes"/>
    <n v="30"/>
    <x v="0"/>
    <n v="20"/>
    <n v="15"/>
    <n v="50"/>
  </r>
  <r>
    <n v="3491"/>
    <s v="William Fernandes"/>
    <x v="2"/>
    <x v="259"/>
    <s v="No"/>
    <n v="10"/>
    <x v="0"/>
    <s v="No"/>
    <s v="-"/>
    <x v="0"/>
    <n v="20"/>
    <n v="5"/>
    <n v="25"/>
  </r>
  <r>
    <n v="3492"/>
    <s v="Xuxa Mendes"/>
    <x v="1"/>
    <x v="260"/>
    <s v="Yes"/>
    <n v="5"/>
    <x v="1"/>
    <s v="No"/>
    <s v="-"/>
    <x v="1"/>
    <n v="0"/>
    <n v="0"/>
    <n v="5"/>
  </r>
  <r>
    <n v="3493"/>
    <s v="Ygor Farias"/>
    <x v="0"/>
    <x v="261"/>
    <s v="No"/>
    <n v="15"/>
    <x v="2"/>
    <s v="Yes"/>
    <n v="30"/>
    <x v="0"/>
    <n v="20"/>
    <n v="20"/>
    <n v="45"/>
  </r>
  <r>
    <n v="3494"/>
    <s v="Zilda Barros"/>
    <x v="2"/>
    <x v="262"/>
    <s v="Yes"/>
    <n v="10"/>
    <x v="2"/>
    <s v="No"/>
    <s v="-"/>
    <x v="0"/>
    <n v="20"/>
    <n v="12"/>
    <n v="18"/>
  </r>
  <r>
    <n v="3495"/>
    <s v="Amanda Santos"/>
    <x v="1"/>
    <x v="263"/>
    <s v="No"/>
    <n v="5"/>
    <x v="0"/>
    <s v="No"/>
    <s v="-"/>
    <x v="1"/>
    <n v="0"/>
    <n v="2"/>
    <n v="3"/>
  </r>
  <r>
    <n v="3496"/>
    <s v="Bruno Costa"/>
    <x v="0"/>
    <x v="264"/>
    <s v="Yes"/>
    <n v="15"/>
    <x v="1"/>
    <s v="Yes"/>
    <n v="30"/>
    <x v="0"/>
    <n v="20"/>
    <n v="5"/>
    <n v="60"/>
  </r>
  <r>
    <n v="3497"/>
    <s v="Carla Rodrigues"/>
    <x v="2"/>
    <x v="265"/>
    <s v="No"/>
    <n v="10"/>
    <x v="0"/>
    <s v="No"/>
    <s v="-"/>
    <x v="0"/>
    <n v="20"/>
    <n v="10"/>
    <n v="20"/>
  </r>
  <r>
    <n v="3498"/>
    <s v="Diogo Pereira"/>
    <x v="1"/>
    <x v="266"/>
    <s v="Yes"/>
    <n v="5"/>
    <x v="2"/>
    <s v="No"/>
    <s v="-"/>
    <x v="1"/>
    <n v="0"/>
    <n v="0"/>
    <n v="5"/>
  </r>
  <r>
    <n v="3499"/>
    <s v="Elisa Correia"/>
    <x v="0"/>
    <x v="267"/>
    <s v="No"/>
    <n v="15"/>
    <x v="0"/>
    <s v="Yes"/>
    <n v="30"/>
    <x v="0"/>
    <n v="20"/>
    <n v="3"/>
    <n v="62"/>
  </r>
  <r>
    <n v="3500"/>
    <s v="Fábio Lourenço"/>
    <x v="2"/>
    <x v="268"/>
    <s v="Yes"/>
    <n v="10"/>
    <x v="1"/>
    <s v="No"/>
    <s v="-"/>
    <x v="0"/>
    <n v="20"/>
    <n v="15"/>
    <n v="15"/>
  </r>
  <r>
    <n v="3501"/>
    <s v="Gabriela Neves"/>
    <x v="1"/>
    <x v="269"/>
    <s v="No"/>
    <n v="5"/>
    <x v="0"/>
    <s v="No"/>
    <s v="-"/>
    <x v="1"/>
    <n v="0"/>
    <n v="1"/>
    <n v="4"/>
  </r>
  <r>
    <n v="3502"/>
    <s v="Henrique Gonçalves"/>
    <x v="0"/>
    <x v="270"/>
    <s v="Yes"/>
    <n v="15"/>
    <x v="2"/>
    <s v="Yes"/>
    <n v="30"/>
    <x v="0"/>
    <n v="20"/>
    <n v="7"/>
    <n v="58"/>
  </r>
  <r>
    <n v="3503"/>
    <s v="Íris Santos"/>
    <x v="2"/>
    <x v="271"/>
    <s v="No"/>
    <n v="10"/>
    <x v="0"/>
    <s v="No"/>
    <s v="-"/>
    <x v="0"/>
    <n v="20"/>
    <n v="10"/>
    <n v="20"/>
  </r>
  <r>
    <n v="3504"/>
    <s v="João Marcelo Alves"/>
    <x v="1"/>
    <x v="272"/>
    <s v="Yes"/>
    <n v="5"/>
    <x v="1"/>
    <s v="No"/>
    <s v="-"/>
    <x v="1"/>
    <n v="0"/>
    <n v="0"/>
    <n v="5"/>
  </r>
  <r>
    <n v="3505"/>
    <s v="Klara Fonseca"/>
    <x v="0"/>
    <x v="273"/>
    <s v="No"/>
    <n v="15"/>
    <x v="0"/>
    <s v="Yes"/>
    <n v="30"/>
    <x v="0"/>
    <n v="20"/>
    <n v="20"/>
    <n v="45"/>
  </r>
  <r>
    <n v="3506"/>
    <s v="Lucas Mendonça"/>
    <x v="2"/>
    <x v="274"/>
    <s v="Yes"/>
    <n v="10"/>
    <x v="2"/>
    <s v="No"/>
    <s v="-"/>
    <x v="0"/>
    <n v="20"/>
    <n v="15"/>
    <n v="15"/>
  </r>
  <r>
    <n v="3507"/>
    <s v="Marcela Torres"/>
    <x v="1"/>
    <x v="275"/>
    <s v="No"/>
    <n v="5"/>
    <x v="0"/>
    <s v="No"/>
    <s v="-"/>
    <x v="1"/>
    <n v="0"/>
    <n v="1"/>
    <n v="4"/>
  </r>
  <r>
    <n v="3508"/>
    <s v="Natália Castro"/>
    <x v="0"/>
    <x v="276"/>
    <s v="Yes"/>
    <n v="15"/>
    <x v="1"/>
    <s v="Yes"/>
    <n v="30"/>
    <x v="0"/>
    <n v="20"/>
    <n v="3"/>
    <n v="62"/>
  </r>
  <r>
    <n v="3509"/>
    <s v="Oscar Martins"/>
    <x v="2"/>
    <x v="277"/>
    <s v="No"/>
    <n v="10"/>
    <x v="0"/>
    <s v="No"/>
    <s v="-"/>
    <x v="0"/>
    <n v="20"/>
    <n v="10"/>
    <n v="20"/>
  </r>
  <r>
    <n v="3510"/>
    <s v="Patrícia Oliveira"/>
    <x v="1"/>
    <x v="278"/>
    <s v="Yes"/>
    <n v="5"/>
    <x v="2"/>
    <s v="No"/>
    <s v="-"/>
    <x v="1"/>
    <n v="0"/>
    <n v="0"/>
    <n v="5"/>
  </r>
  <r>
    <n v="3511"/>
    <s v="Quentin Nogueira"/>
    <x v="0"/>
    <x v="279"/>
    <s v="No"/>
    <n v="15"/>
    <x v="0"/>
    <s v="Yes"/>
    <n v="30"/>
    <x v="0"/>
    <n v="20"/>
    <n v="15"/>
    <n v="50"/>
  </r>
  <r>
    <n v="3512"/>
    <s v="Raquel Silva"/>
    <x v="2"/>
    <x v="280"/>
    <s v="Yes"/>
    <n v="10"/>
    <x v="1"/>
    <s v="No"/>
    <s v="-"/>
    <x v="0"/>
    <n v="20"/>
    <n v="15"/>
    <n v="15"/>
  </r>
  <r>
    <n v="3513"/>
    <s v="Sandro Gomes"/>
    <x v="1"/>
    <x v="281"/>
    <s v="No"/>
    <n v="5"/>
    <x v="0"/>
    <s v="No"/>
    <s v="-"/>
    <x v="1"/>
    <n v="0"/>
    <n v="1"/>
    <n v="4"/>
  </r>
  <r>
    <n v="3514"/>
    <s v="Tânia Machado"/>
    <x v="0"/>
    <x v="282"/>
    <s v="Yes"/>
    <n v="15"/>
    <x v="2"/>
    <s v="Yes"/>
    <n v="30"/>
    <x v="0"/>
    <n v="20"/>
    <n v="7"/>
    <n v="58"/>
  </r>
  <r>
    <n v="3515"/>
    <s v="Ursula Silva"/>
    <x v="2"/>
    <x v="283"/>
    <s v="No"/>
    <n v="10"/>
    <x v="0"/>
    <s v="No"/>
    <s v="-"/>
    <x v="0"/>
    <n v="20"/>
    <n v="10"/>
    <n v="20"/>
  </r>
  <r>
    <n v="3516"/>
    <s v="Vanessa Moraes"/>
    <x v="1"/>
    <x v="284"/>
    <s v="Yes"/>
    <n v="5"/>
    <x v="1"/>
    <s v="No"/>
    <s v="-"/>
    <x v="1"/>
    <n v="0"/>
    <n v="0"/>
    <n v="5"/>
  </r>
  <r>
    <n v="3517"/>
    <s v="William Carvalho"/>
    <x v="0"/>
    <x v="285"/>
    <s v="No"/>
    <n v="15"/>
    <x v="0"/>
    <s v="Yes"/>
    <n v="30"/>
    <x v="0"/>
    <n v="20"/>
    <n v="20"/>
    <n v="45"/>
  </r>
  <r>
    <n v="3518"/>
    <s v="Xavier Reis"/>
    <x v="2"/>
    <x v="286"/>
    <s v="Yes"/>
    <n v="10"/>
    <x v="2"/>
    <s v="No"/>
    <s v="-"/>
    <x v="0"/>
    <n v="20"/>
    <n v="12"/>
    <n v="18"/>
  </r>
  <r>
    <n v="3519"/>
    <s v="Yasmin Rocha"/>
    <x v="1"/>
    <x v="287"/>
    <s v="No"/>
    <n v="5"/>
    <x v="0"/>
    <s v="No"/>
    <s v="-"/>
    <x v="1"/>
    <n v="0"/>
    <n v="2"/>
    <n v="3"/>
  </r>
  <r>
    <n v="3520"/>
    <s v="Zacarias Duarte"/>
    <x v="0"/>
    <x v="288"/>
    <s v="Yes"/>
    <n v="15"/>
    <x v="1"/>
    <s v="Yes"/>
    <n v="30"/>
    <x v="0"/>
    <n v="20"/>
    <n v="5"/>
    <n v="60"/>
  </r>
  <r>
    <n v="3521"/>
    <s v="Amanda Freitas"/>
    <x v="2"/>
    <x v="289"/>
    <s v="No"/>
    <n v="10"/>
    <x v="0"/>
    <s v="No"/>
    <s v="-"/>
    <x v="0"/>
    <n v="20"/>
    <n v="10"/>
    <n v="20"/>
  </r>
  <r>
    <n v="3522"/>
    <s v="Bruno Almeida"/>
    <x v="1"/>
    <x v="290"/>
    <s v="Yes"/>
    <n v="5"/>
    <x v="2"/>
    <s v="No"/>
    <s v="-"/>
    <x v="1"/>
    <n v="0"/>
    <n v="0"/>
    <n v="5"/>
  </r>
  <r>
    <n v="3523"/>
    <s v="Carla Siqueira"/>
    <x v="0"/>
    <x v="291"/>
    <s v="No"/>
    <n v="15"/>
    <x v="0"/>
    <s v="Yes"/>
    <n v="30"/>
    <x v="0"/>
    <n v="20"/>
    <n v="3"/>
    <n v="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n v="15"/>
    <x v="0"/>
    <x v="0"/>
    <x v="0"/>
    <x v="0"/>
    <n v="20"/>
    <x v="0"/>
    <n v="60"/>
  </r>
  <r>
    <x v="1"/>
    <n v="5"/>
    <x v="1"/>
    <x v="1"/>
    <x v="1"/>
    <x v="1"/>
    <n v="0"/>
    <x v="1"/>
    <n v="5"/>
  </r>
  <r>
    <x v="0"/>
    <n v="10"/>
    <x v="2"/>
    <x v="1"/>
    <x v="1"/>
    <x v="0"/>
    <n v="20"/>
    <x v="2"/>
    <n v="20"/>
  </r>
  <r>
    <x v="1"/>
    <n v="15"/>
    <x v="0"/>
    <x v="0"/>
    <x v="0"/>
    <x v="0"/>
    <n v="20"/>
    <x v="3"/>
    <n v="62"/>
  </r>
  <r>
    <x v="0"/>
    <n v="5"/>
    <x v="0"/>
    <x v="1"/>
    <x v="1"/>
    <x v="1"/>
    <n v="0"/>
    <x v="4"/>
    <n v="4"/>
  </r>
  <r>
    <x v="1"/>
    <n v="10"/>
    <x v="0"/>
    <x v="1"/>
    <x v="1"/>
    <x v="0"/>
    <n v="20"/>
    <x v="5"/>
    <n v="28"/>
  </r>
  <r>
    <x v="0"/>
    <n v="15"/>
    <x v="2"/>
    <x v="0"/>
    <x v="0"/>
    <x v="0"/>
    <n v="20"/>
    <x v="2"/>
    <n v="55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0"/>
    <n v="60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7"/>
    <n v="45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8"/>
    <n v="57"/>
  </r>
  <r>
    <x v="0"/>
    <n v="10"/>
    <x v="1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0"/>
    <n v="25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7"/>
    <n v="45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0"/>
    <n v="60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5"/>
    <x v="0"/>
    <x v="1"/>
    <x v="1"/>
    <x v="1"/>
    <n v="0"/>
    <x v="1"/>
    <n v="5"/>
  </r>
  <r>
    <x v="1"/>
    <n v="15"/>
    <x v="2"/>
    <x v="0"/>
    <x v="0"/>
    <x v="0"/>
    <n v="20"/>
    <x v="10"/>
    <n v="58"/>
  </r>
  <r>
    <x v="0"/>
    <n v="10"/>
    <x v="1"/>
    <x v="1"/>
    <x v="1"/>
    <x v="0"/>
    <n v="20"/>
    <x v="2"/>
    <n v="20"/>
  </r>
  <r>
    <x v="1"/>
    <n v="5"/>
    <x v="2"/>
    <x v="1"/>
    <x v="1"/>
    <x v="1"/>
    <n v="0"/>
    <x v="4"/>
    <n v="4"/>
  </r>
  <r>
    <x v="0"/>
    <n v="15"/>
    <x v="0"/>
    <x v="0"/>
    <x v="0"/>
    <x v="0"/>
    <n v="20"/>
    <x v="6"/>
    <n v="50"/>
  </r>
  <r>
    <x v="1"/>
    <n v="10"/>
    <x v="0"/>
    <x v="1"/>
    <x v="1"/>
    <x v="0"/>
    <n v="20"/>
    <x v="0"/>
    <n v="25"/>
  </r>
  <r>
    <x v="0"/>
    <n v="5"/>
    <x v="1"/>
    <x v="1"/>
    <x v="1"/>
    <x v="1"/>
    <n v="0"/>
    <x v="1"/>
    <n v="5"/>
  </r>
  <r>
    <x v="1"/>
    <n v="15"/>
    <x v="2"/>
    <x v="0"/>
    <x v="0"/>
    <x v="0"/>
    <n v="20"/>
    <x v="7"/>
    <n v="45"/>
  </r>
  <r>
    <x v="0"/>
    <n v="10"/>
    <x v="2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3"/>
    <n v="62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0"/>
    <n v="60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7"/>
    <n v="45"/>
  </r>
  <r>
    <x v="1"/>
    <n v="10"/>
    <x v="0"/>
    <x v="1"/>
    <x v="1"/>
    <x v="0"/>
    <n v="20"/>
    <x v="0"/>
    <n v="25"/>
  </r>
  <r>
    <x v="1"/>
    <n v="5"/>
    <x v="0"/>
    <x v="1"/>
    <x v="1"/>
    <x v="1"/>
    <n v="0"/>
    <x v="1"/>
    <n v="5"/>
  </r>
  <r>
    <x v="0"/>
    <n v="15"/>
    <x v="2"/>
    <x v="0"/>
    <x v="0"/>
    <x v="0"/>
    <n v="20"/>
    <x v="10"/>
    <n v="58"/>
  </r>
  <r>
    <x v="1"/>
    <n v="10"/>
    <x v="1"/>
    <x v="1"/>
    <x v="1"/>
    <x v="0"/>
    <n v="20"/>
    <x v="2"/>
    <n v="20"/>
  </r>
  <r>
    <x v="0"/>
    <n v="5"/>
    <x v="2"/>
    <x v="1"/>
    <x v="1"/>
    <x v="1"/>
    <n v="0"/>
    <x v="4"/>
    <n v="4"/>
  </r>
  <r>
    <x v="1"/>
    <n v="15"/>
    <x v="0"/>
    <x v="0"/>
    <x v="0"/>
    <x v="0"/>
    <n v="20"/>
    <x v="6"/>
    <n v="50"/>
  </r>
  <r>
    <x v="0"/>
    <n v="10"/>
    <x v="0"/>
    <x v="1"/>
    <x v="1"/>
    <x v="0"/>
    <n v="20"/>
    <x v="0"/>
    <n v="25"/>
  </r>
  <r>
    <x v="1"/>
    <n v="5"/>
    <x v="1"/>
    <x v="1"/>
    <x v="1"/>
    <x v="1"/>
    <n v="0"/>
    <x v="1"/>
    <n v="5"/>
  </r>
  <r>
    <x v="0"/>
    <n v="15"/>
    <x v="2"/>
    <x v="0"/>
    <x v="0"/>
    <x v="0"/>
    <n v="20"/>
    <x v="7"/>
    <n v="45"/>
  </r>
  <r>
    <x v="1"/>
    <n v="10"/>
    <x v="2"/>
    <x v="1"/>
    <x v="1"/>
    <x v="0"/>
    <n v="20"/>
    <x v="9"/>
    <n v="18"/>
  </r>
  <r>
    <x v="0"/>
    <n v="5"/>
    <x v="0"/>
    <x v="1"/>
    <x v="1"/>
    <x v="1"/>
    <n v="0"/>
    <x v="5"/>
    <n v="3"/>
  </r>
  <r>
    <x v="1"/>
    <n v="15"/>
    <x v="1"/>
    <x v="0"/>
    <x v="0"/>
    <x v="0"/>
    <n v="20"/>
    <x v="0"/>
    <n v="60"/>
  </r>
  <r>
    <x v="0"/>
    <n v="10"/>
    <x v="0"/>
    <x v="1"/>
    <x v="1"/>
    <x v="0"/>
    <n v="20"/>
    <x v="2"/>
    <n v="20"/>
  </r>
  <r>
    <x v="1"/>
    <n v="5"/>
    <x v="2"/>
    <x v="1"/>
    <x v="1"/>
    <x v="1"/>
    <n v="0"/>
    <x v="1"/>
    <n v="5"/>
  </r>
  <r>
    <x v="0"/>
    <n v="15"/>
    <x v="0"/>
    <x v="0"/>
    <x v="0"/>
    <x v="0"/>
    <n v="20"/>
    <x v="3"/>
    <n v="62"/>
  </r>
  <r>
    <x v="1"/>
    <n v="10"/>
    <x v="1"/>
    <x v="1"/>
    <x v="1"/>
    <x v="0"/>
    <n v="20"/>
    <x v="6"/>
    <n v="15"/>
  </r>
  <r>
    <x v="0"/>
    <n v="5"/>
    <x v="0"/>
    <x v="1"/>
    <x v="1"/>
    <x v="1"/>
    <n v="0"/>
    <x v="4"/>
    <n v="4"/>
  </r>
  <r>
    <x v="1"/>
    <n v="15"/>
    <x v="2"/>
    <x v="0"/>
    <x v="0"/>
    <x v="0"/>
    <n v="20"/>
    <x v="10"/>
    <n v="58"/>
  </r>
  <r>
    <x v="0"/>
    <n v="10"/>
    <x v="0"/>
    <x v="1"/>
    <x v="1"/>
    <x v="0"/>
    <n v="20"/>
    <x v="2"/>
    <n v="20"/>
  </r>
  <r>
    <x v="1"/>
    <n v="5"/>
    <x v="1"/>
    <x v="1"/>
    <x v="1"/>
    <x v="1"/>
    <n v="0"/>
    <x v="1"/>
    <n v="5"/>
  </r>
  <r>
    <x v="0"/>
    <n v="15"/>
    <x v="0"/>
    <x v="0"/>
    <x v="0"/>
    <x v="0"/>
    <n v="20"/>
    <x v="7"/>
    <n v="45"/>
  </r>
  <r>
    <x v="1"/>
    <n v="10"/>
    <x v="2"/>
    <x v="1"/>
    <x v="1"/>
    <x v="0"/>
    <n v="20"/>
    <x v="6"/>
    <n v="15"/>
  </r>
  <r>
    <x v="0"/>
    <n v="5"/>
    <x v="0"/>
    <x v="1"/>
    <x v="1"/>
    <x v="1"/>
    <n v="0"/>
    <x v="4"/>
    <n v="4"/>
  </r>
  <r>
    <x v="1"/>
    <n v="15"/>
    <x v="1"/>
    <x v="0"/>
    <x v="0"/>
    <x v="0"/>
    <n v="20"/>
    <x v="3"/>
    <n v="62"/>
  </r>
  <r>
    <x v="0"/>
    <n v="10"/>
    <x v="0"/>
    <x v="1"/>
    <x v="1"/>
    <x v="0"/>
    <n v="20"/>
    <x v="2"/>
    <n v="20"/>
  </r>
  <r>
    <x v="1"/>
    <n v="5"/>
    <x v="2"/>
    <x v="1"/>
    <x v="1"/>
    <x v="1"/>
    <n v="0"/>
    <x v="1"/>
    <n v="5"/>
  </r>
  <r>
    <x v="0"/>
    <n v="15"/>
    <x v="0"/>
    <x v="0"/>
    <x v="0"/>
    <x v="0"/>
    <n v="20"/>
    <x v="0"/>
    <n v="60"/>
  </r>
  <r>
    <x v="1"/>
    <n v="10"/>
    <x v="1"/>
    <x v="1"/>
    <x v="1"/>
    <x v="0"/>
    <n v="20"/>
    <x v="6"/>
    <n v="15"/>
  </r>
  <r>
    <x v="0"/>
    <n v="5"/>
    <x v="0"/>
    <x v="1"/>
    <x v="1"/>
    <x v="1"/>
    <n v="0"/>
    <x v="4"/>
    <n v="4"/>
  </r>
  <r>
    <x v="1"/>
    <n v="15"/>
    <x v="2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1"/>
    <x v="1"/>
    <x v="1"/>
    <x v="1"/>
    <n v="0"/>
    <x v="1"/>
    <n v="5"/>
  </r>
  <r>
    <x v="0"/>
    <n v="15"/>
    <x v="0"/>
    <x v="0"/>
    <x v="0"/>
    <x v="0"/>
    <n v="20"/>
    <x v="10"/>
    <n v="58"/>
  </r>
  <r>
    <x v="1"/>
    <n v="10"/>
    <x v="1"/>
    <x v="1"/>
    <x v="1"/>
    <x v="0"/>
    <n v="20"/>
    <x v="2"/>
    <n v="20"/>
  </r>
  <r>
    <x v="0"/>
    <n v="5"/>
    <x v="2"/>
    <x v="1"/>
    <x v="1"/>
    <x v="1"/>
    <n v="0"/>
    <x v="4"/>
    <n v="4"/>
  </r>
  <r>
    <x v="1"/>
    <n v="15"/>
    <x v="0"/>
    <x v="0"/>
    <x v="0"/>
    <x v="0"/>
    <n v="20"/>
    <x v="6"/>
    <n v="50"/>
  </r>
  <r>
    <x v="0"/>
    <n v="10"/>
    <x v="0"/>
    <x v="1"/>
    <x v="1"/>
    <x v="0"/>
    <n v="20"/>
    <x v="0"/>
    <n v="25"/>
  </r>
  <r>
    <x v="1"/>
    <n v="5"/>
    <x v="1"/>
    <x v="1"/>
    <x v="1"/>
    <x v="1"/>
    <n v="0"/>
    <x v="1"/>
    <n v="5"/>
  </r>
  <r>
    <x v="0"/>
    <n v="15"/>
    <x v="2"/>
    <x v="0"/>
    <x v="0"/>
    <x v="0"/>
    <n v="20"/>
    <x v="7"/>
    <n v="45"/>
  </r>
  <r>
    <x v="1"/>
    <n v="10"/>
    <x v="2"/>
    <x v="1"/>
    <x v="1"/>
    <x v="0"/>
    <n v="20"/>
    <x v="9"/>
    <n v="18"/>
  </r>
  <r>
    <x v="0"/>
    <n v="5"/>
    <x v="0"/>
    <x v="1"/>
    <x v="1"/>
    <x v="1"/>
    <n v="0"/>
    <x v="5"/>
    <n v="3"/>
  </r>
  <r>
    <x v="0"/>
    <n v="5"/>
    <x v="0"/>
    <x v="1"/>
    <x v="1"/>
    <x v="1"/>
    <n v="0"/>
    <x v="1"/>
    <n v="5"/>
  </r>
  <r>
    <x v="1"/>
    <n v="15"/>
    <x v="2"/>
    <x v="0"/>
    <x v="0"/>
    <x v="0"/>
    <n v="20"/>
    <x v="10"/>
    <n v="58"/>
  </r>
  <r>
    <x v="0"/>
    <n v="10"/>
    <x v="1"/>
    <x v="1"/>
    <x v="1"/>
    <x v="0"/>
    <n v="20"/>
    <x v="2"/>
    <n v="20"/>
  </r>
  <r>
    <x v="1"/>
    <n v="5"/>
    <x v="2"/>
    <x v="1"/>
    <x v="1"/>
    <x v="1"/>
    <n v="0"/>
    <x v="4"/>
    <n v="4"/>
  </r>
  <r>
    <x v="0"/>
    <n v="15"/>
    <x v="0"/>
    <x v="0"/>
    <x v="0"/>
    <x v="0"/>
    <n v="20"/>
    <x v="6"/>
    <n v="50"/>
  </r>
  <r>
    <x v="1"/>
    <n v="10"/>
    <x v="0"/>
    <x v="1"/>
    <x v="1"/>
    <x v="0"/>
    <n v="20"/>
    <x v="0"/>
    <n v="25"/>
  </r>
  <r>
    <x v="0"/>
    <n v="5"/>
    <x v="1"/>
    <x v="1"/>
    <x v="1"/>
    <x v="1"/>
    <n v="0"/>
    <x v="1"/>
    <n v="5"/>
  </r>
  <r>
    <x v="1"/>
    <n v="15"/>
    <x v="2"/>
    <x v="0"/>
    <x v="0"/>
    <x v="0"/>
    <n v="20"/>
    <x v="7"/>
    <n v="45"/>
  </r>
  <r>
    <x v="0"/>
    <n v="10"/>
    <x v="2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3"/>
    <n v="62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6"/>
    <n v="50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0"/>
    <x v="1"/>
    <x v="1"/>
    <x v="1"/>
    <n v="0"/>
    <x v="1"/>
    <n v="5"/>
  </r>
  <r>
    <x v="1"/>
    <n v="15"/>
    <x v="2"/>
    <x v="0"/>
    <x v="0"/>
    <x v="0"/>
    <n v="20"/>
    <x v="10"/>
    <n v="58"/>
  </r>
  <r>
    <x v="0"/>
    <n v="10"/>
    <x v="1"/>
    <x v="1"/>
    <x v="1"/>
    <x v="0"/>
    <n v="20"/>
    <x v="2"/>
    <n v="20"/>
  </r>
  <r>
    <x v="1"/>
    <n v="5"/>
    <x v="2"/>
    <x v="1"/>
    <x v="1"/>
    <x v="1"/>
    <n v="0"/>
    <x v="4"/>
    <n v="4"/>
  </r>
  <r>
    <x v="0"/>
    <n v="15"/>
    <x v="0"/>
    <x v="0"/>
    <x v="0"/>
    <x v="0"/>
    <n v="20"/>
    <x v="6"/>
    <n v="50"/>
  </r>
  <r>
    <x v="1"/>
    <n v="10"/>
    <x v="0"/>
    <x v="1"/>
    <x v="1"/>
    <x v="0"/>
    <n v="20"/>
    <x v="0"/>
    <n v="25"/>
  </r>
  <r>
    <x v="0"/>
    <n v="5"/>
    <x v="1"/>
    <x v="1"/>
    <x v="1"/>
    <x v="1"/>
    <n v="0"/>
    <x v="1"/>
    <n v="5"/>
  </r>
  <r>
    <x v="1"/>
    <n v="15"/>
    <x v="2"/>
    <x v="0"/>
    <x v="0"/>
    <x v="0"/>
    <n v="20"/>
    <x v="7"/>
    <n v="45"/>
  </r>
  <r>
    <x v="0"/>
    <n v="10"/>
    <x v="2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3"/>
    <n v="62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6"/>
    <n v="50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5"/>
    <x v="0"/>
    <x v="1"/>
    <x v="1"/>
    <x v="1"/>
    <n v="0"/>
    <x v="1"/>
    <n v="5"/>
  </r>
  <r>
    <x v="1"/>
    <n v="15"/>
    <x v="2"/>
    <x v="0"/>
    <x v="0"/>
    <x v="0"/>
    <n v="20"/>
    <x v="10"/>
    <n v="58"/>
  </r>
  <r>
    <x v="0"/>
    <n v="10"/>
    <x v="1"/>
    <x v="1"/>
    <x v="1"/>
    <x v="0"/>
    <n v="20"/>
    <x v="2"/>
    <n v="20"/>
  </r>
  <r>
    <x v="1"/>
    <n v="5"/>
    <x v="2"/>
    <x v="1"/>
    <x v="1"/>
    <x v="1"/>
    <n v="0"/>
    <x v="4"/>
    <n v="4"/>
  </r>
  <r>
    <x v="0"/>
    <n v="15"/>
    <x v="0"/>
    <x v="0"/>
    <x v="0"/>
    <x v="0"/>
    <n v="20"/>
    <x v="6"/>
    <n v="50"/>
  </r>
  <r>
    <x v="1"/>
    <n v="10"/>
    <x v="0"/>
    <x v="1"/>
    <x v="1"/>
    <x v="0"/>
    <n v="20"/>
    <x v="0"/>
    <n v="25"/>
  </r>
  <r>
    <x v="0"/>
    <n v="5"/>
    <x v="1"/>
    <x v="1"/>
    <x v="1"/>
    <x v="1"/>
    <n v="0"/>
    <x v="1"/>
    <n v="5"/>
  </r>
  <r>
    <x v="1"/>
    <n v="15"/>
    <x v="2"/>
    <x v="0"/>
    <x v="0"/>
    <x v="0"/>
    <n v="20"/>
    <x v="7"/>
    <n v="45"/>
  </r>
  <r>
    <x v="0"/>
    <n v="10"/>
    <x v="2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3"/>
    <n v="62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6"/>
    <n v="50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0"/>
    <x v="1"/>
    <x v="1"/>
    <x v="1"/>
    <n v="0"/>
    <x v="1"/>
    <n v="5"/>
  </r>
  <r>
    <x v="1"/>
    <n v="15"/>
    <x v="2"/>
    <x v="0"/>
    <x v="0"/>
    <x v="0"/>
    <n v="20"/>
    <x v="10"/>
    <n v="58"/>
  </r>
  <r>
    <x v="0"/>
    <n v="10"/>
    <x v="1"/>
    <x v="1"/>
    <x v="1"/>
    <x v="0"/>
    <n v="20"/>
    <x v="2"/>
    <n v="20"/>
  </r>
  <r>
    <x v="1"/>
    <n v="5"/>
    <x v="2"/>
    <x v="1"/>
    <x v="1"/>
    <x v="1"/>
    <n v="0"/>
    <x v="4"/>
    <n v="4"/>
  </r>
  <r>
    <x v="0"/>
    <n v="15"/>
    <x v="0"/>
    <x v="0"/>
    <x v="0"/>
    <x v="0"/>
    <n v="20"/>
    <x v="6"/>
    <n v="50"/>
  </r>
  <r>
    <x v="1"/>
    <n v="10"/>
    <x v="0"/>
    <x v="1"/>
    <x v="1"/>
    <x v="0"/>
    <n v="20"/>
    <x v="0"/>
    <n v="25"/>
  </r>
  <r>
    <x v="0"/>
    <n v="5"/>
    <x v="1"/>
    <x v="1"/>
    <x v="1"/>
    <x v="1"/>
    <n v="0"/>
    <x v="1"/>
    <n v="5"/>
  </r>
  <r>
    <x v="1"/>
    <n v="15"/>
    <x v="2"/>
    <x v="0"/>
    <x v="0"/>
    <x v="0"/>
    <n v="20"/>
    <x v="7"/>
    <n v="45"/>
  </r>
  <r>
    <x v="0"/>
    <n v="10"/>
    <x v="2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3"/>
    <n v="62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6"/>
    <n v="50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6"/>
    <n v="50"/>
  </r>
  <r>
    <x v="0"/>
    <n v="10"/>
    <x v="2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3"/>
    <n v="62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6"/>
    <n v="50"/>
  </r>
  <r>
    <x v="0"/>
    <n v="5"/>
    <x v="0"/>
    <x v="1"/>
    <x v="1"/>
    <x v="1"/>
    <n v="0"/>
    <x v="1"/>
    <n v="5"/>
  </r>
  <r>
    <x v="1"/>
    <n v="15"/>
    <x v="2"/>
    <x v="0"/>
    <x v="0"/>
    <x v="0"/>
    <n v="20"/>
    <x v="10"/>
    <n v="58"/>
  </r>
  <r>
    <x v="0"/>
    <n v="10"/>
    <x v="1"/>
    <x v="1"/>
    <x v="1"/>
    <x v="0"/>
    <n v="20"/>
    <x v="2"/>
    <n v="20"/>
  </r>
  <r>
    <x v="1"/>
    <n v="5"/>
    <x v="2"/>
    <x v="1"/>
    <x v="1"/>
    <x v="1"/>
    <n v="0"/>
    <x v="4"/>
    <n v="4"/>
  </r>
  <r>
    <x v="0"/>
    <n v="15"/>
    <x v="0"/>
    <x v="0"/>
    <x v="0"/>
    <x v="0"/>
    <n v="20"/>
    <x v="6"/>
    <n v="50"/>
  </r>
  <r>
    <x v="1"/>
    <n v="10"/>
    <x v="0"/>
    <x v="1"/>
    <x v="1"/>
    <x v="0"/>
    <n v="20"/>
    <x v="0"/>
    <n v="25"/>
  </r>
  <r>
    <x v="0"/>
    <n v="5"/>
    <x v="1"/>
    <x v="1"/>
    <x v="1"/>
    <x v="1"/>
    <n v="0"/>
    <x v="1"/>
    <n v="5"/>
  </r>
  <r>
    <x v="1"/>
    <n v="15"/>
    <x v="2"/>
    <x v="0"/>
    <x v="0"/>
    <x v="0"/>
    <n v="20"/>
    <x v="7"/>
    <n v="45"/>
  </r>
  <r>
    <x v="0"/>
    <n v="10"/>
    <x v="2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1"/>
    <x v="0"/>
    <x v="0"/>
    <x v="0"/>
    <n v="20"/>
    <x v="3"/>
    <n v="62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6"/>
    <n v="50"/>
  </r>
  <r>
    <x v="0"/>
    <n v="10"/>
    <x v="1"/>
    <x v="1"/>
    <x v="1"/>
    <x v="0"/>
    <n v="20"/>
    <x v="6"/>
    <n v="15"/>
  </r>
  <r>
    <x v="1"/>
    <n v="5"/>
    <x v="0"/>
    <x v="1"/>
    <x v="1"/>
    <x v="1"/>
    <n v="0"/>
    <x v="4"/>
    <n v="4"/>
  </r>
  <r>
    <x v="0"/>
    <n v="15"/>
    <x v="2"/>
    <x v="0"/>
    <x v="0"/>
    <x v="0"/>
    <n v="20"/>
    <x v="10"/>
    <n v="58"/>
  </r>
  <r>
    <x v="1"/>
    <n v="10"/>
    <x v="0"/>
    <x v="1"/>
    <x v="1"/>
    <x v="0"/>
    <n v="20"/>
    <x v="2"/>
    <n v="20"/>
  </r>
  <r>
    <x v="0"/>
    <n v="5"/>
    <x v="1"/>
    <x v="1"/>
    <x v="1"/>
    <x v="1"/>
    <n v="0"/>
    <x v="1"/>
    <n v="5"/>
  </r>
  <r>
    <x v="1"/>
    <n v="15"/>
    <x v="0"/>
    <x v="0"/>
    <x v="0"/>
    <x v="0"/>
    <n v="20"/>
    <x v="7"/>
    <n v="45"/>
  </r>
  <r>
    <x v="0"/>
    <n v="10"/>
    <x v="2"/>
    <x v="1"/>
    <x v="1"/>
    <x v="0"/>
    <n v="20"/>
    <x v="9"/>
    <n v="18"/>
  </r>
  <r>
    <x v="1"/>
    <n v="5"/>
    <x v="0"/>
    <x v="1"/>
    <x v="1"/>
    <x v="1"/>
    <n v="0"/>
    <x v="5"/>
    <n v="3"/>
  </r>
  <r>
    <x v="0"/>
    <n v="15"/>
    <x v="1"/>
    <x v="0"/>
    <x v="0"/>
    <x v="0"/>
    <n v="20"/>
    <x v="0"/>
    <n v="60"/>
  </r>
  <r>
    <x v="1"/>
    <n v="10"/>
    <x v="0"/>
    <x v="1"/>
    <x v="1"/>
    <x v="0"/>
    <n v="20"/>
    <x v="2"/>
    <n v="20"/>
  </r>
  <r>
    <x v="0"/>
    <n v="5"/>
    <x v="2"/>
    <x v="1"/>
    <x v="1"/>
    <x v="1"/>
    <n v="0"/>
    <x v="1"/>
    <n v="5"/>
  </r>
  <r>
    <x v="1"/>
    <n v="15"/>
    <x v="0"/>
    <x v="0"/>
    <x v="0"/>
    <x v="0"/>
    <n v="20"/>
    <x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21CC5-7B78-488E-944B-12FF8BFA395C}" name="Tabela dinâmica1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9:E32" firstHeaderRow="1" firstDataRow="1" firstDataCol="1"/>
  <pivotFields count="15">
    <pivotField showAll="0"/>
    <pivotField showAll="0"/>
    <pivotField showAll="0"/>
    <pivotField axis="axisRow"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3ABD9-9B55-44D0-9484-A50DF3E0560D}" name="Tabela dinâmica6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B20" firstHeaderRow="1" firstDataRow="1" firstDataCol="1"/>
  <pivotFields count="9"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76D0D-B73C-46C8-98D1-8012FDBE6D59}" name="Tabela dinâmica4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B13" firstHeaderRow="1" firstDataRow="1" firstDataCol="1"/>
  <pivotFields count="9"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a de Total Value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23DE4-1988-4A3A-A55A-D781B25BFAF4}" name="Tabela dinâmica2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/>
    <pivotField dataField="1"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baseField="0" baseItem="0" numFmtId="4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H2" sqref="H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7253-0726-4141-A3D9-4A6B88672F94}">
  <sheetPr>
    <tabColor theme="3" tint="0.749992370372631"/>
  </sheetPr>
  <dimension ref="A2:F32"/>
  <sheetViews>
    <sheetView topLeftCell="A53" workbookViewId="0">
      <selection activeCell="F7" sqref="F7"/>
    </sheetView>
  </sheetViews>
  <sheetFormatPr defaultRowHeight="14.4" x14ac:dyDescent="0.3"/>
  <cols>
    <col min="1" max="1" width="16.77734375" bestFit="1" customWidth="1"/>
    <col min="2" max="2" width="24.21875" bestFit="1" customWidth="1"/>
    <col min="3" max="3" width="17.88671875" bestFit="1" customWidth="1"/>
    <col min="4" max="4" width="16.77734375" bestFit="1" customWidth="1"/>
    <col min="5" max="5" width="17.88671875" bestFit="1" customWidth="1"/>
    <col min="6" max="6" width="20.109375" bestFit="1" customWidth="1"/>
  </cols>
  <sheetData>
    <row r="2" spans="1:6" x14ac:dyDescent="0.3">
      <c r="A2" t="s">
        <v>317</v>
      </c>
      <c r="D2" s="13" t="s">
        <v>334</v>
      </c>
      <c r="E2" s="13" t="s">
        <v>335</v>
      </c>
      <c r="F2" s="13" t="s">
        <v>337</v>
      </c>
    </row>
    <row r="3" spans="1:6" x14ac:dyDescent="0.3">
      <c r="A3" s="15" t="s">
        <v>313</v>
      </c>
      <c r="B3" t="s">
        <v>314</v>
      </c>
      <c r="D3" s="18">
        <f>COUNTIF(B̳ases!J2:J294, "Yes") / COUNTA(B̳ases!M2:M296)</f>
        <v>0.65423728813559323</v>
      </c>
      <c r="E3" s="18">
        <f>COUNTIF(B̳ases!H2:H294, "Yes") / COUNTA(B̳ases!M2:M296)</f>
        <v>0.33220338983050846</v>
      </c>
      <c r="F3" s="18">
        <v>0.01</v>
      </c>
    </row>
    <row r="4" spans="1:6" x14ac:dyDescent="0.3">
      <c r="A4" s="16" t="s">
        <v>22</v>
      </c>
      <c r="B4" s="12">
        <v>500</v>
      </c>
      <c r="D4" s="14">
        <f xml:space="preserve"> D3 * GETPIVOTDATA("Total Value",$A$16)</f>
        <v>4981.3627118644072</v>
      </c>
      <c r="E4" s="14">
        <f xml:space="preserve"> E3 * GETPIVOTDATA("Total Value",$A$16)</f>
        <v>2529.3966101694914</v>
      </c>
      <c r="F4" s="14">
        <f xml:space="preserve"> F3 * GETPIVOTDATA("Total Value",$A$16)</f>
        <v>76.14</v>
      </c>
    </row>
    <row r="5" spans="1:6" x14ac:dyDescent="0.3">
      <c r="A5" s="16" t="s">
        <v>26</v>
      </c>
      <c r="B5" s="12">
        <v>950</v>
      </c>
      <c r="F5" s="12"/>
    </row>
    <row r="6" spans="1:6" x14ac:dyDescent="0.3">
      <c r="A6" s="16" t="s">
        <v>18</v>
      </c>
      <c r="B6" s="12">
        <v>1470</v>
      </c>
      <c r="D6" s="12"/>
    </row>
    <row r="7" spans="1:6" x14ac:dyDescent="0.3">
      <c r="A7" s="16" t="s">
        <v>315</v>
      </c>
      <c r="B7" s="12">
        <v>2920</v>
      </c>
    </row>
    <row r="9" spans="1:6" x14ac:dyDescent="0.3">
      <c r="A9" s="16" t="s">
        <v>318</v>
      </c>
    </row>
    <row r="10" spans="1:6" x14ac:dyDescent="0.3">
      <c r="A10" s="15" t="s">
        <v>313</v>
      </c>
      <c r="B10" t="s">
        <v>316</v>
      </c>
    </row>
    <row r="11" spans="1:6" x14ac:dyDescent="0.3">
      <c r="A11" s="16" t="s">
        <v>23</v>
      </c>
      <c r="B11" s="12">
        <v>3843</v>
      </c>
    </row>
    <row r="12" spans="1:6" x14ac:dyDescent="0.3">
      <c r="A12" s="16" t="s">
        <v>19</v>
      </c>
      <c r="B12" s="12">
        <v>3771</v>
      </c>
    </row>
    <row r="13" spans="1:6" x14ac:dyDescent="0.3">
      <c r="A13" s="16" t="s">
        <v>315</v>
      </c>
      <c r="B13" s="12">
        <v>7614</v>
      </c>
    </row>
    <row r="15" spans="1:6" x14ac:dyDescent="0.3">
      <c r="A15" s="16" t="s">
        <v>319</v>
      </c>
      <c r="D15" s="16"/>
    </row>
    <row r="16" spans="1:6" x14ac:dyDescent="0.3">
      <c r="A16" s="15" t="s">
        <v>313</v>
      </c>
      <c r="B16" t="s">
        <v>316</v>
      </c>
    </row>
    <row r="17" spans="1:5" x14ac:dyDescent="0.3">
      <c r="A17" s="16" t="s">
        <v>24</v>
      </c>
      <c r="B17" s="12">
        <v>1739</v>
      </c>
    </row>
    <row r="18" spans="1:5" x14ac:dyDescent="0.3">
      <c r="A18" s="16" t="s">
        <v>20</v>
      </c>
      <c r="B18" s="12">
        <v>3567</v>
      </c>
      <c r="D18" t="s">
        <v>332</v>
      </c>
    </row>
    <row r="19" spans="1:5" x14ac:dyDescent="0.3">
      <c r="A19" s="16" t="s">
        <v>27</v>
      </c>
      <c r="B19" s="12">
        <v>2308</v>
      </c>
      <c r="D19" s="15" t="s">
        <v>313</v>
      </c>
      <c r="E19" t="s">
        <v>316</v>
      </c>
    </row>
    <row r="20" spans="1:5" x14ac:dyDescent="0.3">
      <c r="A20" s="16" t="s">
        <v>315</v>
      </c>
      <c r="B20" s="12">
        <v>7614</v>
      </c>
      <c r="D20" s="16" t="s">
        <v>320</v>
      </c>
      <c r="E20" s="12">
        <v>65</v>
      </c>
    </row>
    <row r="21" spans="1:5" x14ac:dyDescent="0.3">
      <c r="D21" s="16" t="s">
        <v>321</v>
      </c>
      <c r="E21" s="12">
        <v>82</v>
      </c>
    </row>
    <row r="22" spans="1:5" x14ac:dyDescent="0.3">
      <c r="D22" s="16" t="s">
        <v>322</v>
      </c>
      <c r="E22" s="12">
        <v>801</v>
      </c>
    </row>
    <row r="23" spans="1:5" x14ac:dyDescent="0.3">
      <c r="D23" s="16" t="s">
        <v>323</v>
      </c>
      <c r="E23" s="12">
        <v>782</v>
      </c>
    </row>
    <row r="24" spans="1:5" x14ac:dyDescent="0.3">
      <c r="D24" s="16" t="s">
        <v>324</v>
      </c>
      <c r="E24" s="12">
        <v>777</v>
      </c>
    </row>
    <row r="25" spans="1:5" x14ac:dyDescent="0.3">
      <c r="D25" s="16" t="s">
        <v>325</v>
      </c>
      <c r="E25" s="12">
        <v>770</v>
      </c>
    </row>
    <row r="26" spans="1:5" x14ac:dyDescent="0.3">
      <c r="D26" s="16" t="s">
        <v>326</v>
      </c>
      <c r="E26" s="12">
        <v>784</v>
      </c>
    </row>
    <row r="27" spans="1:5" x14ac:dyDescent="0.3">
      <c r="D27" s="16" t="s">
        <v>327</v>
      </c>
      <c r="E27" s="12">
        <v>787</v>
      </c>
    </row>
    <row r="28" spans="1:5" x14ac:dyDescent="0.3">
      <c r="D28" s="16" t="s">
        <v>328</v>
      </c>
      <c r="E28" s="12">
        <v>780</v>
      </c>
    </row>
    <row r="29" spans="1:5" x14ac:dyDescent="0.3">
      <c r="D29" s="16" t="s">
        <v>329</v>
      </c>
      <c r="E29" s="12">
        <v>832</v>
      </c>
    </row>
    <row r="30" spans="1:5" x14ac:dyDescent="0.3">
      <c r="D30" s="16" t="s">
        <v>330</v>
      </c>
      <c r="E30" s="12">
        <v>784</v>
      </c>
    </row>
    <row r="31" spans="1:5" x14ac:dyDescent="0.3">
      <c r="D31" s="16" t="s">
        <v>331</v>
      </c>
      <c r="E31" s="12">
        <v>370</v>
      </c>
    </row>
    <row r="32" spans="1:5" x14ac:dyDescent="0.3">
      <c r="D32" s="16" t="s">
        <v>315</v>
      </c>
      <c r="E32" s="12">
        <v>7614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30"/>
  <sheetViews>
    <sheetView showGridLines="0" tabSelected="1" topLeftCell="A2" zoomScale="49" zoomScaleNormal="49" workbookViewId="0">
      <selection activeCell="Y39" sqref="Y39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1" spans="1:22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9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8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7.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0.5" customHeight="1" x14ac:dyDescent="0.3"/>
    <row r="6" spans="1:22" ht="9.75" customHeight="1" x14ac:dyDescent="0.3"/>
    <row r="7" spans="1:22" ht="33" customHeight="1" x14ac:dyDescent="0.45">
      <c r="A7" s="17" t="s">
        <v>333</v>
      </c>
      <c r="N7" s="17" t="s">
        <v>336</v>
      </c>
    </row>
    <row r="30" spans="1:1" ht="23.4" x14ac:dyDescent="0.45">
      <c r="A30" s="17" t="s">
        <v>338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informações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JOSE SACRAMENTO</cp:lastModifiedBy>
  <dcterms:created xsi:type="dcterms:W3CDTF">2024-12-19T13:13:10Z</dcterms:created>
  <dcterms:modified xsi:type="dcterms:W3CDTF">2026-03-11T16:55:30Z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